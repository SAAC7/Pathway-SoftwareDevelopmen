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015" windowHeight="13359" firstSheet="1" activeTab="3"/>
  </bookViews>
  <sheets>
    <sheet name="Alice's Spending" sheetId="1" r:id="rId1"/>
    <sheet name="Pedro's Budget" sheetId="2" r:id="rId2"/>
    <sheet name="Jana's Budget" sheetId="3" r:id="rId3"/>
    <sheet name="Tanisha and Dani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<sst xmlns="http://schemas.openxmlformats.org/spreadsheetml/2006/main" count="67" uniqueCount="31">
  <si>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Alice's Budget This Month</t>
  </si>
  <si>
    <t>Income</t>
  </si>
  <si>
    <t>Paycheck</t>
  </si>
  <si>
    <t>Total Income:</t>
  </si>
  <si>
    <t>Expenses</t>
  </si>
  <si>
    <t>Tithing</t>
  </si>
  <si>
    <t>Taxes</t>
  </si>
  <si>
    <t>Groceries</t>
  </si>
  <si>
    <t>Cell Phone</t>
  </si>
  <si>
    <t>Entertainment</t>
  </si>
  <si>
    <t>Total Expenses:</t>
  </si>
  <si>
    <t>Cash Flow Summary</t>
  </si>
  <si>
    <t>Total Income</t>
  </si>
  <si>
    <t>Total Expenses</t>
  </si>
  <si>
    <t>Monthly Cash Flow:</t>
  </si>
  <si>
    <t>Pedro's Budget This Month</t>
  </si>
  <si>
    <t>Withdraw from Savings</t>
  </si>
  <si>
    <t>Jana's January Budget and New Monthly Goal</t>
  </si>
  <si>
    <t>January</t>
  </si>
  <si>
    <t>New Monthly Goal</t>
  </si>
  <si>
    <t>Tanisha and Daniel's Budget</t>
  </si>
  <si>
    <t>Cell Phone Plan</t>
  </si>
  <si>
    <t>Annual Amount</t>
  </si>
  <si>
    <t>Monthly Amount</t>
  </si>
  <si>
    <t>All you need (monthly plan cost)</t>
  </si>
  <si>
    <t>Unlimited 1 Month</t>
  </si>
  <si>
    <t>Unlimied 3 Months</t>
  </si>
  <si>
    <t>Unlimited 6 Months</t>
  </si>
  <si>
    <t>Unlimited 1 Year</t>
  </si>
  <si>
    <t>Which cell phone plan should they choose?</t>
  </si>
  <si>
    <t>They could choose "All you need" plan, "Unlimited 6 Months" plan, "Unlimited 1 Year" plan that are within their budget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</si>
</sst>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[$$-409]* #,##0.00_);_([$$-409]* \(#,##0.00\);_([$$-409]* &quot;-&quot;??_);_(@_)"/>
    <numFmt numFmtId="179" formatCode="_([$€-2]\ * #,##0.00_);_([$€-2]\ * \(#,##0.00\);_([$€-2]\ * &quot;-&quot;??_);_(@_)"/>
    <numFmt numFmtId="180" formatCode="_-[$£-809]* #,##0.00_-;\-[$£-809]* #,##0.00_-;_-[$£-809]* &quot;-&quot;??_-;_-@_-"/>
  </numFmts>
  <fonts count="28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70C0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2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44" fontId="0" fillId="0" borderId="1" xfId="2" applyFont="1" applyFill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44" fontId="0" fillId="0" borderId="0" xfId="2" applyFont="1" applyFill="1" applyBorder="1"/>
    <xf numFmtId="178" fontId="0" fillId="3" borderId="1" xfId="0" applyNumberFormat="1" applyFill="1" applyBorder="1"/>
    <xf numFmtId="0" fontId="2" fillId="2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179" fontId="0" fillId="0" borderId="1" xfId="0" applyNumberFormat="1" applyBorder="1"/>
    <xf numFmtId="179" fontId="5" fillId="0" borderId="1" xfId="0" applyNumberFormat="1" applyFont="1" applyBorder="1"/>
    <xf numFmtId="179" fontId="0" fillId="3" borderId="1" xfId="2" applyNumberFormat="1" applyFont="1" applyFill="1" applyBorder="1"/>
    <xf numFmtId="179" fontId="5" fillId="0" borderId="1" xfId="2" applyNumberFormat="1" applyFont="1" applyFill="1" applyBorder="1"/>
    <xf numFmtId="179" fontId="0" fillId="0" borderId="1" xfId="2" applyNumberFormat="1" applyFont="1" applyFill="1" applyBorder="1"/>
    <xf numFmtId="179" fontId="5" fillId="4" borderId="1" xfId="2" applyNumberFormat="1" applyFont="1" applyFill="1" applyBorder="1"/>
    <xf numFmtId="0" fontId="6" fillId="0" borderId="1" xfId="0" applyFont="1" applyBorder="1" applyAlignment="1">
      <alignment horizontal="right"/>
    </xf>
    <xf numFmtId="179" fontId="7" fillId="5" borderId="1" xfId="2" applyNumberFormat="1" applyFont="1" applyFill="1" applyBorder="1"/>
    <xf numFmtId="44" fontId="0" fillId="0" borderId="1" xfId="0" applyNumberFormat="1" applyBorder="1"/>
    <xf numFmtId="44" fontId="0" fillId="3" borderId="1" xfId="2" applyFont="1" applyFill="1" applyBorder="1"/>
    <xf numFmtId="180" fontId="0" fillId="3" borderId="1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C2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9"/>
  <sheetViews>
    <sheetView workbookViewId="0">
      <selection activeCell="C5" sqref="C5"/>
    </sheetView>
  </sheetViews>
  <sheetFormatPr defaultColWidth="11" defaultRowHeight="15.65" outlineLevelCol="2"/>
  <cols>
    <col min="1" max="1" width="2.83636363636364" customWidth="1"/>
    <col min="2" max="2" width="21.3363636363636" customWidth="1"/>
  </cols>
  <sheetData>
    <row r="2" ht="23.45" spans="2:2">
      <c r="B2" s="1" t="s">
        <v>0</v>
      </c>
    </row>
    <row r="4" ht="18.75" spans="2:3">
      <c r="B4" s="2" t="s">
        <v>1</v>
      </c>
      <c r="C4" s="3"/>
    </row>
    <row r="5" spans="2:3">
      <c r="B5" s="4" t="s">
        <v>2</v>
      </c>
      <c r="C5" s="23">
        <f>512*2</f>
        <v>1024</v>
      </c>
    </row>
    <row r="6" spans="2:3">
      <c r="B6" s="6" t="s">
        <v>3</v>
      </c>
      <c r="C6" s="23">
        <f>C5</f>
        <v>1024</v>
      </c>
    </row>
    <row r="8" ht="18.75" spans="2:3">
      <c r="B8" s="2" t="s">
        <v>4</v>
      </c>
      <c r="C8" s="3"/>
    </row>
    <row r="9" spans="2:3">
      <c r="B9" s="4" t="s">
        <v>5</v>
      </c>
      <c r="C9" s="23">
        <f>C6*0.1</f>
        <v>102.4</v>
      </c>
    </row>
    <row r="10" spans="2:3">
      <c r="B10" s="4" t="s">
        <v>6</v>
      </c>
      <c r="C10" s="23">
        <f>C6*0.15</f>
        <v>153.6</v>
      </c>
    </row>
    <row r="11" spans="2:3">
      <c r="B11" s="4" t="s">
        <v>7</v>
      </c>
      <c r="C11" s="23">
        <f>69.88+111.38+59.31+68.27</f>
        <v>308.84</v>
      </c>
    </row>
    <row r="12" spans="2:3">
      <c r="B12" s="4" t="s">
        <v>8</v>
      </c>
      <c r="C12" s="23">
        <f>45.77+420/12</f>
        <v>80.77</v>
      </c>
    </row>
    <row r="13" spans="2:3">
      <c r="B13" s="4" t="s">
        <v>9</v>
      </c>
      <c r="C13" s="23">
        <f>13+3*11.25+7.5+29.67</f>
        <v>83.92</v>
      </c>
    </row>
    <row r="14" spans="2:3">
      <c r="B14" s="6" t="s">
        <v>10</v>
      </c>
      <c r="C14" s="23">
        <f>SUM(C9:C13)</f>
        <v>729.53</v>
      </c>
    </row>
    <row r="16" ht="18.75" spans="2:3">
      <c r="B16" s="2" t="s">
        <v>11</v>
      </c>
      <c r="C16" s="3"/>
    </row>
    <row r="17" spans="2:3">
      <c r="B17" s="4" t="s">
        <v>12</v>
      </c>
      <c r="C17" s="23">
        <f>C6</f>
        <v>1024</v>
      </c>
    </row>
    <row r="18" spans="2:3">
      <c r="B18" s="4" t="s">
        <v>13</v>
      </c>
      <c r="C18" s="23">
        <f>C14</f>
        <v>729.53</v>
      </c>
    </row>
    <row r="19" spans="2:3">
      <c r="B19" s="19" t="s">
        <v>14</v>
      </c>
      <c r="C19" s="23">
        <f>C17-C18</f>
        <v>294.47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0"/>
  <sheetViews>
    <sheetView workbookViewId="0">
      <selection activeCell="D24" sqref="D24"/>
    </sheetView>
  </sheetViews>
  <sheetFormatPr defaultColWidth="11" defaultRowHeight="15.65" outlineLevelCol="2"/>
  <cols>
    <col min="1" max="1" width="2.83636363636364" customWidth="1"/>
    <col min="2" max="2" width="21.3363636363636" customWidth="1"/>
  </cols>
  <sheetData>
    <row r="2" ht="23.45" spans="2:2">
      <c r="B2" s="1" t="s">
        <v>15</v>
      </c>
    </row>
    <row r="4" ht="18.75" spans="2:3">
      <c r="B4" s="2" t="s">
        <v>1</v>
      </c>
      <c r="C4" s="3"/>
    </row>
    <row r="5" spans="2:3">
      <c r="B5" s="4" t="s">
        <v>2</v>
      </c>
      <c r="C5" s="21">
        <v>2750</v>
      </c>
    </row>
    <row r="6" spans="2:3">
      <c r="B6" s="4" t="s">
        <v>16</v>
      </c>
      <c r="C6" s="5">
        <v>0</v>
      </c>
    </row>
    <row r="7" spans="2:3">
      <c r="B7" s="6" t="s">
        <v>3</v>
      </c>
      <c r="C7" s="5">
        <f>SUM(C5:C6)</f>
        <v>2750</v>
      </c>
    </row>
    <row r="9" ht="18.75" spans="2:3">
      <c r="B9" s="2" t="s">
        <v>4</v>
      </c>
      <c r="C9" s="3"/>
    </row>
    <row r="10" spans="2:3">
      <c r="B10" s="4" t="s">
        <v>5</v>
      </c>
      <c r="C10" s="5">
        <v>275</v>
      </c>
    </row>
    <row r="11" spans="2:3">
      <c r="B11" s="4" t="s">
        <v>6</v>
      </c>
      <c r="C11" s="5">
        <v>412.5</v>
      </c>
    </row>
    <row r="12" spans="2:3">
      <c r="B12" s="4" t="s">
        <v>7</v>
      </c>
      <c r="C12" s="22">
        <v>350</v>
      </c>
    </row>
    <row r="13" spans="2:3">
      <c r="B13" s="4" t="s">
        <v>8</v>
      </c>
      <c r="C13" s="5">
        <v>779.44</v>
      </c>
    </row>
    <row r="14" spans="2:3">
      <c r="B14" s="4" t="s">
        <v>9</v>
      </c>
      <c r="C14" s="5">
        <v>545</v>
      </c>
    </row>
    <row r="15" spans="2:3">
      <c r="B15" s="6" t="s">
        <v>10</v>
      </c>
      <c r="C15" s="22">
        <f>SUM(C10:C14)</f>
        <v>2361.94</v>
      </c>
    </row>
    <row r="17" ht="18.75" spans="2:3">
      <c r="B17" s="2" t="s">
        <v>11</v>
      </c>
      <c r="C17" s="3"/>
    </row>
    <row r="18" spans="2:3">
      <c r="B18" s="4" t="s">
        <v>12</v>
      </c>
      <c r="C18" s="5">
        <f>C7</f>
        <v>2750</v>
      </c>
    </row>
    <row r="19" spans="2:3">
      <c r="B19" s="4" t="s">
        <v>13</v>
      </c>
      <c r="C19" s="22">
        <f>C15</f>
        <v>2361.94</v>
      </c>
    </row>
    <row r="20" spans="2:3">
      <c r="B20" s="19" t="s">
        <v>14</v>
      </c>
      <c r="C20" s="22">
        <f>C18-C19</f>
        <v>388.06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0"/>
  <sheetViews>
    <sheetView workbookViewId="0">
      <selection activeCell="H20" sqref="H20"/>
    </sheetView>
  </sheetViews>
  <sheetFormatPr defaultColWidth="11" defaultRowHeight="15.65" outlineLevelCol="3"/>
  <cols>
    <col min="1" max="1" width="2.83636363636364" customWidth="1"/>
    <col min="2" max="2" width="21.3363636363636" customWidth="1"/>
    <col min="3" max="4" width="13.8363636363636" customWidth="1"/>
  </cols>
  <sheetData>
    <row r="2" ht="23.45" spans="2:2">
      <c r="B2" s="1" t="s">
        <v>17</v>
      </c>
    </row>
    <row r="4" ht="31.3" spans="2:4">
      <c r="B4" s="2" t="s">
        <v>1</v>
      </c>
      <c r="C4" s="3" t="s">
        <v>18</v>
      </c>
      <c r="D4" s="12" t="s">
        <v>19</v>
      </c>
    </row>
    <row r="5" spans="2:4">
      <c r="B5" s="4" t="s">
        <v>2</v>
      </c>
      <c r="C5" s="13">
        <v>513</v>
      </c>
      <c r="D5" s="14">
        <v>513</v>
      </c>
    </row>
    <row r="6" spans="2:4">
      <c r="B6" s="4" t="s">
        <v>16</v>
      </c>
      <c r="C6" s="15">
        <v>125.75</v>
      </c>
      <c r="D6" s="16">
        <v>0</v>
      </c>
    </row>
    <row r="7" spans="2:4">
      <c r="B7" s="6" t="s">
        <v>3</v>
      </c>
      <c r="C7" s="17">
        <f>SUM(C5:C6)</f>
        <v>638.75</v>
      </c>
      <c r="D7" s="16">
        <f>SUM(D5:D6)</f>
        <v>513</v>
      </c>
    </row>
    <row r="9" ht="18.75" spans="2:4">
      <c r="B9" s="2" t="s">
        <v>4</v>
      </c>
      <c r="C9" s="3"/>
      <c r="D9" s="3"/>
    </row>
    <row r="10" spans="2:4">
      <c r="B10" s="4" t="s">
        <v>5</v>
      </c>
      <c r="C10" s="17">
        <f>C5*0.1</f>
        <v>51.3</v>
      </c>
      <c r="D10" s="16">
        <f>D5*0.1</f>
        <v>51.3</v>
      </c>
    </row>
    <row r="11" spans="2:4">
      <c r="B11" s="4" t="s">
        <v>6</v>
      </c>
      <c r="C11" s="17">
        <f>C5*0.25</f>
        <v>128.25</v>
      </c>
      <c r="D11" s="16">
        <f>D5*0.25</f>
        <v>128.25</v>
      </c>
    </row>
    <row r="12" spans="2:4">
      <c r="B12" s="4" t="s">
        <v>7</v>
      </c>
      <c r="C12" s="17">
        <v>307.09</v>
      </c>
      <c r="D12" s="16">
        <v>260</v>
      </c>
    </row>
    <row r="13" spans="2:4">
      <c r="B13" s="4" t="s">
        <v>8</v>
      </c>
      <c r="C13" s="17">
        <v>51</v>
      </c>
      <c r="D13" s="16">
        <v>45</v>
      </c>
    </row>
    <row r="14" spans="2:4">
      <c r="B14" s="4" t="s">
        <v>9</v>
      </c>
      <c r="C14" s="17">
        <v>101.11</v>
      </c>
      <c r="D14" s="18">
        <v>28.45</v>
      </c>
    </row>
    <row r="15" spans="2:4">
      <c r="B15" s="6" t="s">
        <v>10</v>
      </c>
      <c r="C15" s="17">
        <f>SUM(C10:C14)</f>
        <v>638.75</v>
      </c>
      <c r="D15" s="16">
        <f>SUM(D10:D14)</f>
        <v>513</v>
      </c>
    </row>
    <row r="17" ht="18.75" spans="2:4">
      <c r="B17" s="2" t="s">
        <v>11</v>
      </c>
      <c r="C17" s="3"/>
      <c r="D17" s="3"/>
    </row>
    <row r="18" spans="2:4">
      <c r="B18" s="4" t="s">
        <v>12</v>
      </c>
      <c r="C18" s="17">
        <f>C7</f>
        <v>638.75</v>
      </c>
      <c r="D18" s="16">
        <f>D7</f>
        <v>513</v>
      </c>
    </row>
    <row r="19" spans="2:4">
      <c r="B19" s="4" t="s">
        <v>13</v>
      </c>
      <c r="C19" s="17">
        <f>C15</f>
        <v>638.75</v>
      </c>
      <c r="D19" s="16">
        <f>D15</f>
        <v>513</v>
      </c>
    </row>
    <row r="20" spans="2:4">
      <c r="B20" s="19" t="s">
        <v>14</v>
      </c>
      <c r="C20" s="20">
        <f>C18-C19</f>
        <v>0</v>
      </c>
      <c r="D20" s="18">
        <f>D18-D19</f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0"/>
  <sheetViews>
    <sheetView tabSelected="1" workbookViewId="0">
      <selection activeCell="I13" sqref="I13"/>
    </sheetView>
  </sheetViews>
  <sheetFormatPr defaultColWidth="11" defaultRowHeight="15.65" outlineLevelCol="3"/>
  <cols>
    <col min="1" max="1" width="2.83636363636364" customWidth="1"/>
    <col min="2" max="2" width="27.6636363636364" customWidth="1"/>
    <col min="3" max="4" width="17.8363636363636" customWidth="1"/>
  </cols>
  <sheetData>
    <row r="2" ht="23.45" spans="2:2">
      <c r="B2" s="1" t="s">
        <v>20</v>
      </c>
    </row>
    <row r="4" ht="18.75" spans="2:3">
      <c r="B4" s="2" t="s">
        <v>4</v>
      </c>
      <c r="C4" s="3"/>
    </row>
    <row r="5" spans="2:3">
      <c r="B5" s="4" t="s">
        <v>5</v>
      </c>
      <c r="C5" s="5">
        <v>102</v>
      </c>
    </row>
    <row r="6" spans="2:3">
      <c r="B6" s="4" t="s">
        <v>6</v>
      </c>
      <c r="C6" s="5">
        <v>255</v>
      </c>
    </row>
    <row r="7" spans="2:3">
      <c r="B7" s="4" t="s">
        <v>7</v>
      </c>
      <c r="C7" s="5">
        <v>300</v>
      </c>
    </row>
    <row r="8" spans="2:3">
      <c r="B8" s="4" t="s">
        <v>8</v>
      </c>
      <c r="C8" s="5">
        <v>92</v>
      </c>
    </row>
    <row r="9" spans="2:3">
      <c r="B9" s="4" t="s">
        <v>9</v>
      </c>
      <c r="C9" s="5">
        <v>150</v>
      </c>
    </row>
    <row r="10" spans="2:3">
      <c r="B10" s="6" t="s">
        <v>10</v>
      </c>
      <c r="C10" s="5">
        <f>SUM(C5:C9)</f>
        <v>899</v>
      </c>
    </row>
    <row r="11" spans="2:3">
      <c r="B11" s="7"/>
      <c r="C11" s="8"/>
    </row>
    <row r="12" ht="18.75" spans="2:4">
      <c r="B12" s="2" t="s">
        <v>21</v>
      </c>
      <c r="C12" s="2" t="s">
        <v>22</v>
      </c>
      <c r="D12" s="2" t="s">
        <v>23</v>
      </c>
    </row>
    <row r="13" spans="2:4">
      <c r="B13" s="4" t="s">
        <v>24</v>
      </c>
      <c r="C13" s="9">
        <f>2*35*12</f>
        <v>840</v>
      </c>
      <c r="D13" s="9">
        <f>C13/12</f>
        <v>70</v>
      </c>
    </row>
    <row r="14" spans="2:4">
      <c r="B14" s="4" t="s">
        <v>25</v>
      </c>
      <c r="C14" s="9">
        <f>2*50*12</f>
        <v>1200</v>
      </c>
      <c r="D14" s="9">
        <f>C14/12</f>
        <v>100</v>
      </c>
    </row>
    <row r="15" spans="2:4">
      <c r="B15" s="4" t="s">
        <v>26</v>
      </c>
      <c r="C15" s="9">
        <f>2*145*4</f>
        <v>1160</v>
      </c>
      <c r="D15" s="9">
        <f>C15/12</f>
        <v>96.6666666666667</v>
      </c>
    </row>
    <row r="16" spans="2:4">
      <c r="B16" s="4" t="s">
        <v>27</v>
      </c>
      <c r="C16" s="9">
        <f>2*260*2</f>
        <v>1040</v>
      </c>
      <c r="D16" s="9">
        <f>C16/12</f>
        <v>86.6666666666667</v>
      </c>
    </row>
    <row r="17" spans="2:4">
      <c r="B17" s="4" t="s">
        <v>28</v>
      </c>
      <c r="C17" s="9">
        <f>510*2</f>
        <v>1020</v>
      </c>
      <c r="D17" s="9">
        <f>C17/12</f>
        <v>85</v>
      </c>
    </row>
    <row r="20" ht="109.55" spans="2:3">
      <c r="B20" s="10" t="s">
        <v>29</v>
      </c>
      <c r="C20" s="11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Alice's Spending</vt:lpstr>
      <vt:lpstr>Pedro's Budget</vt:lpstr>
      <vt:lpstr>Jana's Budget</vt:lpstr>
      <vt:lpstr>Tanisha and Daniel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absar</cp:lastModifiedBy>
  <dcterms:created xsi:type="dcterms:W3CDTF">2023-07-03T10:24:00Z</dcterms:created>
  <dcterms:modified xsi:type="dcterms:W3CDTF">2025-09-11T11:32:29Z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10B9082ECE59EBBD64F9C2687155161C_42</vt:lpwstr>
  </property>
  <property fmtid="{D5CDD505-2E9C-101B-9397-08002B2CF9AE}" pid="3" name="KSOProductBuildVer">
    <vt:lpwstr>1033-12.1.2.22570</vt:lpwstr>
  </property>
</Properties>
</file>