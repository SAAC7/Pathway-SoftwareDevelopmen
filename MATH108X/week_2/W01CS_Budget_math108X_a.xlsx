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75" activeTab="2"/>
  </bookViews>
  <sheets>
    <sheet name="January" sheetId="1" r:id="rId1"/>
    <sheet name="February" sheetId="3" r:id="rId2"/>
    <sheet name="How Did I Do" sheetId="6" r:id="rId3"/>
    <sheet name="Your Budget" sheetId="5" r:id="rId4"/>
  </sheets>
  <definedNames>
    <definedName name="_xlnm._FilterDatabase" localSheetId="0" hidden="1">January!$F$5:$K$36</definedName>
  </definedNames>
  <calcPr calcId="144525"/>
</workbook>
</file>

<file path=xl/sharedStrings.xml><?xml version="1.0" encoding="utf-8"?>
<sst xmlns="http://schemas.openxmlformats.org/spreadsheetml/2006/main" count="296" uniqueCount="105">
  <si>
    <t>January</t>
  </si>
  <si>
    <t>Income</t>
  </si>
  <si>
    <t>Goal</t>
  </si>
  <si>
    <t>Actual</t>
  </si>
  <si>
    <t>Juan's Spending Record</t>
  </si>
  <si>
    <t>Job</t>
  </si>
  <si>
    <t>Date</t>
  </si>
  <si>
    <t>Store</t>
  </si>
  <si>
    <t>Details</t>
  </si>
  <si>
    <t>Amount</t>
  </si>
  <si>
    <t>Expense Category</t>
  </si>
  <si>
    <t>Payment Method</t>
  </si>
  <si>
    <t>Other</t>
  </si>
  <si>
    <t>My Boss</t>
  </si>
  <si>
    <t>paycheck</t>
  </si>
  <si>
    <t>Income Job</t>
  </si>
  <si>
    <t>Cash</t>
  </si>
  <si>
    <t>Total Income:</t>
  </si>
  <si>
    <t>Market</t>
  </si>
  <si>
    <t>groceries</t>
  </si>
  <si>
    <t>Groceries</t>
  </si>
  <si>
    <t>Bus</t>
  </si>
  <si>
    <t>going to work</t>
  </si>
  <si>
    <t>Transportation</t>
  </si>
  <si>
    <t>Expenses</t>
  </si>
  <si>
    <t>Landlord</t>
  </si>
  <si>
    <t>rent</t>
  </si>
  <si>
    <t>Housing</t>
  </si>
  <si>
    <t>Tithing</t>
  </si>
  <si>
    <t>Utilities Office</t>
  </si>
  <si>
    <t>pay water and electricity</t>
  </si>
  <si>
    <t>Utilities</t>
  </si>
  <si>
    <t>Fast Offering</t>
  </si>
  <si>
    <t>Put in Safe Place</t>
  </si>
  <si>
    <t>save money for tuition</t>
  </si>
  <si>
    <t>Tutition</t>
  </si>
  <si>
    <t>Taxes</t>
  </si>
  <si>
    <t>going to church</t>
  </si>
  <si>
    <t>Tuition</t>
  </si>
  <si>
    <t>The Church of Jesus Christ</t>
  </si>
  <si>
    <t>tithing</t>
  </si>
  <si>
    <t>fast offering</t>
  </si>
  <si>
    <t>Cell Phone</t>
  </si>
  <si>
    <t>Street Vendor</t>
  </si>
  <si>
    <t>lunch</t>
  </si>
  <si>
    <t>Internet</t>
  </si>
  <si>
    <t>Tax Office</t>
  </si>
  <si>
    <t>pay taxes</t>
  </si>
  <si>
    <t>sweets</t>
  </si>
  <si>
    <t>Emergency Fund</t>
  </si>
  <si>
    <t>Friend</t>
  </si>
  <si>
    <t>paid for service</t>
  </si>
  <si>
    <t>Other Income</t>
  </si>
  <si>
    <t>Total Expenses:</t>
  </si>
  <si>
    <t>Cash Flow Summary</t>
  </si>
  <si>
    <t>Total Income</t>
  </si>
  <si>
    <t>Phone Place</t>
  </si>
  <si>
    <t>cell phone bill</t>
  </si>
  <si>
    <t>Total Expenses</t>
  </si>
  <si>
    <t>Wireless</t>
  </si>
  <si>
    <t>internet for home</t>
  </si>
  <si>
    <t>Monthly Cash Flow:</t>
  </si>
  <si>
    <t>Tailor</t>
  </si>
  <si>
    <t>new pants</t>
  </si>
  <si>
    <t>going to movie</t>
  </si>
  <si>
    <t>Movie Theather</t>
  </si>
  <si>
    <t>movie with friend</t>
  </si>
  <si>
    <t>Savings</t>
  </si>
  <si>
    <t>emergency fund deposit</t>
  </si>
  <si>
    <t>February</t>
  </si>
  <si>
    <t>store</t>
  </si>
  <si>
    <t xml:space="preserve">groceries </t>
  </si>
  <si>
    <t>2025 Block 5</t>
  </si>
  <si>
    <t>January Tab, D18</t>
  </si>
  <si>
    <t>January Tab, D19</t>
  </si>
  <si>
    <t>January Tab, D20</t>
  </si>
  <si>
    <t>February Tab, D10</t>
  </si>
  <si>
    <t>February Tab, D11</t>
  </si>
  <si>
    <t>February Tab, D12</t>
  </si>
  <si>
    <t>February Tab, D13</t>
  </si>
  <si>
    <t>February Tab, D14</t>
  </si>
  <si>
    <t>February Tab, D15</t>
  </si>
  <si>
    <t>February Tab, D16</t>
  </si>
  <si>
    <t>February Tab, D17</t>
  </si>
  <si>
    <t>February Tab, D18</t>
  </si>
  <si>
    <t>February Tab, D19</t>
  </si>
  <si>
    <t>February Tab, D20</t>
  </si>
  <si>
    <t>February Tab, D21</t>
  </si>
  <si>
    <t>February Tab, C10</t>
  </si>
  <si>
    <t>February Tab, C11</t>
  </si>
  <si>
    <t>February Tab, C12</t>
  </si>
  <si>
    <t>February Tab, C13</t>
  </si>
  <si>
    <t>February Tab, C14</t>
  </si>
  <si>
    <t>February Tab, C15</t>
  </si>
  <si>
    <t>Provide explanation in the word document if you changed this cell</t>
  </si>
  <si>
    <t>February Tab, C16</t>
  </si>
  <si>
    <t>February Tab, C17</t>
  </si>
  <si>
    <t>February Tab, C18</t>
  </si>
  <si>
    <t>February Tab, C19</t>
  </si>
  <si>
    <t>February Tab, C20</t>
  </si>
  <si>
    <t>February Tab, C21</t>
  </si>
  <si>
    <t>February Tab, C27</t>
  </si>
  <si>
    <t>[Month]</t>
  </si>
  <si>
    <r>
      <rPr>
        <b/>
        <sz val="12"/>
        <color rgb="FFC00000"/>
        <rFont val="Calibri"/>
        <charset val="134"/>
        <scheme val="minor"/>
      </rPr>
      <t>Optional</t>
    </r>
    <r>
      <rPr>
        <sz val="12"/>
        <color rgb="FFC00000"/>
        <rFont val="Calibri"/>
        <charset val="134"/>
        <scheme val="minor"/>
      </rPr>
      <t>: You can use this sheet to make a budget for yourself.</t>
    </r>
  </si>
  <si>
    <t>My Spending Record</t>
  </si>
</sst>
</file>

<file path=xl/styles.xml><?xml version="1.0" encoding="utf-8"?>
<styleSheet xmlns="http://schemas.openxmlformats.org/spreadsheetml/2006/main">
  <numFmts count="5">
    <numFmt numFmtId="176" formatCode="m/d;@"/>
    <numFmt numFmtId="42" formatCode="_(&quot;$&quot;* #,##0_);_(&quot;$&quot;* \(#,##0\);_(&quot;$&quot;* &quot;-&quot;_);_(@_)"/>
    <numFmt numFmtId="177" formatCode="_ * #,##0_ ;_ * \-#,##0_ ;_ * &quot;-&quot;_ ;_ @_ "/>
    <numFmt numFmtId="178" formatCode="_ * #,##0.00_ ;_ * \-#,##0.00_ ;_ * &quot;-&quot;??_ ;_ @_ "/>
    <numFmt numFmtId="44" formatCode="_(&quot;$&quot;* #,##0.00_);_(&quot;$&quot;* \(#,##0.00\);_(&quot;$&quot;* &quot;-&quot;??_);_(@_)"/>
  </numFmts>
  <fonts count="29">
    <font>
      <sz val="12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2"/>
      <color rgb="FFC00000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i/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i/>
      <sz val="12"/>
      <color theme="1"/>
      <name val="Calibri"/>
      <charset val="134"/>
      <scheme val="minor"/>
    </font>
    <font>
      <b/>
      <i/>
      <sz val="16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2"/>
      <color rgb="FFC00000"/>
      <name val="Calibri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00FDFF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0" fillId="34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16" fillId="13" borderId="6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9" fillId="16" borderId="9" applyNumberFormat="0" applyFont="0" applyAlignment="0" applyProtection="0">
      <alignment vertical="center"/>
    </xf>
    <xf numFmtId="0" fontId="20" fillId="14" borderId="8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3" borderId="8" applyNumberFormat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0" fontId="8" fillId="9" borderId="4" applyNumberForma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</cellStyleXfs>
  <cellXfs count="57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0" fillId="0" borderId="1" xfId="0" applyBorder="1"/>
    <xf numFmtId="2" fontId="0" fillId="3" borderId="1" xfId="0" applyNumberFormat="1" applyFill="1" applyBorder="1"/>
    <xf numFmtId="2" fontId="0" fillId="0" borderId="1" xfId="0" applyNumberFormat="1" applyBorder="1"/>
    <xf numFmtId="0" fontId="5" fillId="0" borderId="1" xfId="0" applyFont="1" applyBorder="1" applyAlignment="1">
      <alignment horizontal="right"/>
    </xf>
    <xf numFmtId="0" fontId="0" fillId="0" borderId="2" xfId="0" applyBorder="1"/>
    <xf numFmtId="2" fontId="0" fillId="3" borderId="2" xfId="0" applyNumberFormat="1" applyFill="1" applyBorder="1"/>
    <xf numFmtId="0" fontId="6" fillId="0" borderId="1" xfId="0" applyFont="1" applyBorder="1" applyAlignment="1">
      <alignment horizontal="right"/>
    </xf>
    <xf numFmtId="0" fontId="7" fillId="2" borderId="1" xfId="0" applyFont="1" applyFill="1" applyBorder="1" applyAlignment="1">
      <alignment horizontal="center"/>
    </xf>
    <xf numFmtId="176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176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3" xfId="0" applyBorder="1" applyAlignment="1">
      <alignment horizontal="center"/>
    </xf>
    <xf numFmtId="2" fontId="0" fillId="0" borderId="1" xfId="0" applyNumberFormat="1" applyBorder="1" applyAlignment="1">
      <alignment horizontal="right"/>
    </xf>
    <xf numFmtId="2" fontId="0" fillId="0" borderId="3" xfId="0" applyNumberFormat="1" applyBorder="1" applyAlignment="1">
      <alignment horizontal="right"/>
    </xf>
    <xf numFmtId="0" fontId="0" fillId="4" borderId="0" xfId="0" applyFill="1" applyAlignment="1">
      <alignment horizontal="center"/>
    </xf>
    <xf numFmtId="0" fontId="0" fillId="0" borderId="0" xfId="0" applyProtection="1">
      <protection locked="0"/>
    </xf>
    <xf numFmtId="176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 wrapText="1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0" xfId="0" applyFont="1" applyAlignment="1" applyProtection="1">
      <alignment horizontal="left"/>
      <protection locked="0"/>
    </xf>
    <xf numFmtId="0" fontId="3" fillId="2" borderId="1" xfId="0" applyFont="1" applyFill="1" applyBorder="1" applyProtection="1">
      <protection locked="0"/>
    </xf>
    <xf numFmtId="0" fontId="4" fillId="2" borderId="1" xfId="0" applyFont="1" applyFill="1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2" fontId="0" fillId="5" borderId="1" xfId="0" applyNumberFormat="1" applyFill="1" applyBorder="1" applyProtection="1">
      <protection locked="0"/>
    </xf>
    <xf numFmtId="2" fontId="0" fillId="6" borderId="1" xfId="0" applyNumberFormat="1" applyFill="1" applyBorder="1" applyProtection="1">
      <protection locked="0"/>
    </xf>
    <xf numFmtId="0" fontId="0" fillId="0" borderId="2" xfId="0" applyBorder="1" applyProtection="1">
      <protection locked="0"/>
    </xf>
    <xf numFmtId="2" fontId="0" fillId="5" borderId="2" xfId="0" applyNumberFormat="1" applyFill="1" applyBorder="1" applyProtection="1">
      <protection locked="0"/>
    </xf>
    <xf numFmtId="0" fontId="7" fillId="2" borderId="1" xfId="0" applyFont="1" applyFill="1" applyBorder="1" applyAlignment="1" applyProtection="1">
      <alignment horizontal="center"/>
      <protection locked="0"/>
    </xf>
    <xf numFmtId="176" fontId="0" fillId="3" borderId="1" xfId="0" applyNumberFormat="1" applyFill="1" applyBorder="1" applyAlignment="1" applyProtection="1">
      <alignment horizontal="center"/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0" fontId="0" fillId="3" borderId="1" xfId="0" applyFill="1" applyBorder="1" applyAlignment="1" applyProtection="1">
      <alignment horizontal="center"/>
      <protection locked="0"/>
    </xf>
    <xf numFmtId="176" fontId="0" fillId="0" borderId="1" xfId="0" applyNumberForma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 wrapText="1"/>
      <protection locked="0"/>
    </xf>
    <xf numFmtId="0" fontId="0" fillId="0" borderId="1" xfId="0" applyBorder="1" applyAlignment="1" applyProtection="1">
      <alignment horizontal="center"/>
      <protection locked="0"/>
    </xf>
    <xf numFmtId="176" fontId="0" fillId="7" borderId="1" xfId="0" applyNumberFormat="1" applyFill="1" applyBorder="1" applyAlignment="1" applyProtection="1">
      <alignment horizontal="center"/>
      <protection locked="0"/>
    </xf>
    <xf numFmtId="176" fontId="0" fillId="0" borderId="3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 wrapText="1"/>
      <protection locked="0"/>
    </xf>
    <xf numFmtId="0" fontId="0" fillId="0" borderId="3" xfId="0" applyBorder="1" applyAlignment="1" applyProtection="1">
      <alignment horizontal="center"/>
      <protection locked="0"/>
    </xf>
    <xf numFmtId="2" fontId="0" fillId="0" borderId="1" xfId="0" applyNumberFormat="1" applyBorder="1" applyProtection="1">
      <protection locked="0"/>
    </xf>
    <xf numFmtId="2" fontId="0" fillId="7" borderId="1" xfId="0" applyNumberFormat="1" applyFill="1" applyBorder="1" applyAlignment="1" applyProtection="1">
      <alignment horizontal="center"/>
      <protection locked="0"/>
    </xf>
    <xf numFmtId="2" fontId="0" fillId="0" borderId="1" xfId="0" applyNumberFormat="1" applyBorder="1" applyAlignment="1" applyProtection="1">
      <alignment horizontal="center"/>
      <protection locked="0"/>
    </xf>
    <xf numFmtId="2" fontId="0" fillId="0" borderId="1" xfId="0" applyNumberFormat="1" applyBorder="1" applyAlignment="1" applyProtection="1">
      <alignment horizontal="right"/>
      <protection locked="0"/>
    </xf>
    <xf numFmtId="2" fontId="0" fillId="0" borderId="3" xfId="0" applyNumberFormat="1" applyBorder="1" applyAlignment="1" applyProtection="1">
      <alignment horizontal="right"/>
      <protection locked="0"/>
    </xf>
    <xf numFmtId="2" fontId="0" fillId="8" borderId="1" xfId="0" applyNumberFormat="1" applyFill="1" applyBorder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2"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</dxfs>
  <tableStyles count="0" defaultTableStyle="TableStyleMedium2" defaultPivotStyle="PivotStyleLight16"/>
  <colors>
    <mruColors>
      <color rgb="00CC99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B2:K41"/>
  <sheetViews>
    <sheetView topLeftCell="C1" workbookViewId="0">
      <selection activeCell="H35" sqref="H35"/>
    </sheetView>
  </sheetViews>
  <sheetFormatPr defaultColWidth="11" defaultRowHeight="15.75"/>
  <cols>
    <col min="1" max="1" width="3.16666666666667" customWidth="1"/>
    <col min="2" max="2" width="21.3333333333333" customWidth="1"/>
    <col min="5" max="5" width="7.33333333333333" customWidth="1"/>
    <col min="6" max="6" width="10.8333333333333" style="1"/>
    <col min="7" max="7" width="27.6666666666667" style="2" customWidth="1"/>
    <col min="8" max="8" width="26" style="3" customWidth="1"/>
    <col min="9" max="9" width="10.8333333333333" style="3"/>
    <col min="10" max="10" width="18.1666666666667" style="3" customWidth="1"/>
    <col min="11" max="11" width="20.8333333333333" style="3" customWidth="1"/>
  </cols>
  <sheetData>
    <row r="2" ht="23.25" spans="2:2">
      <c r="B2" s="4" t="s">
        <v>0</v>
      </c>
    </row>
    <row r="4" ht="21" spans="2:11">
      <c r="B4" s="6" t="s">
        <v>1</v>
      </c>
      <c r="C4" s="7" t="s">
        <v>2</v>
      </c>
      <c r="D4" s="7" t="s">
        <v>3</v>
      </c>
      <c r="F4" s="15" t="s">
        <v>4</v>
      </c>
      <c r="G4" s="15"/>
      <c r="H4" s="15"/>
      <c r="I4" s="15"/>
      <c r="J4" s="15"/>
      <c r="K4" s="15"/>
    </row>
    <row r="5" spans="2:11">
      <c r="B5" s="8" t="s">
        <v>5</v>
      </c>
      <c r="C5" s="9">
        <v>41000</v>
      </c>
      <c r="D5" s="10">
        <v>41000</v>
      </c>
      <c r="F5" s="16" t="s">
        <v>6</v>
      </c>
      <c r="G5" s="17" t="s">
        <v>7</v>
      </c>
      <c r="H5" s="18" t="s">
        <v>8</v>
      </c>
      <c r="I5" s="18" t="s">
        <v>9</v>
      </c>
      <c r="J5" s="18" t="s">
        <v>10</v>
      </c>
      <c r="K5" s="18" t="s">
        <v>11</v>
      </c>
    </row>
    <row r="6" hidden="1" spans="2:11">
      <c r="B6" s="8" t="s">
        <v>12</v>
      </c>
      <c r="C6" s="9">
        <v>0</v>
      </c>
      <c r="D6" s="10">
        <v>750</v>
      </c>
      <c r="F6" s="19">
        <v>44929</v>
      </c>
      <c r="G6" s="20" t="s">
        <v>13</v>
      </c>
      <c r="H6" s="21" t="s">
        <v>14</v>
      </c>
      <c r="I6" s="25">
        <v>41000</v>
      </c>
      <c r="J6" s="21" t="s">
        <v>15</v>
      </c>
      <c r="K6" s="21" t="s">
        <v>16</v>
      </c>
    </row>
    <row r="7" hidden="1" spans="2:11">
      <c r="B7" s="11" t="s">
        <v>17</v>
      </c>
      <c r="C7" s="9">
        <f>SUM(C5:C6)</f>
        <v>41000</v>
      </c>
      <c r="D7" s="10">
        <f>SUM(D5:D6)</f>
        <v>41750</v>
      </c>
      <c r="F7" s="19">
        <v>44929</v>
      </c>
      <c r="G7" s="20" t="s">
        <v>18</v>
      </c>
      <c r="H7" s="21" t="s">
        <v>19</v>
      </c>
      <c r="I7" s="25">
        <v>1080</v>
      </c>
      <c r="J7" s="21" t="s">
        <v>20</v>
      </c>
      <c r="K7" s="21" t="s">
        <v>16</v>
      </c>
    </row>
    <row r="8" hidden="1" spans="6:11">
      <c r="F8" s="19">
        <v>44929</v>
      </c>
      <c r="G8" s="20" t="s">
        <v>21</v>
      </c>
      <c r="H8" s="21" t="s">
        <v>22</v>
      </c>
      <c r="I8" s="25">
        <v>100</v>
      </c>
      <c r="J8" s="21" t="s">
        <v>23</v>
      </c>
      <c r="K8" s="21" t="s">
        <v>16</v>
      </c>
    </row>
    <row r="9" ht="18.75" hidden="1" spans="2:11">
      <c r="B9" s="6" t="s">
        <v>24</v>
      </c>
      <c r="C9" s="7" t="s">
        <v>2</v>
      </c>
      <c r="D9" s="7" t="s">
        <v>3</v>
      </c>
      <c r="F9" s="19">
        <v>44929</v>
      </c>
      <c r="G9" s="20" t="s">
        <v>25</v>
      </c>
      <c r="H9" s="21" t="s">
        <v>26</v>
      </c>
      <c r="I9" s="25">
        <v>10500</v>
      </c>
      <c r="J9" s="21" t="s">
        <v>27</v>
      </c>
      <c r="K9" s="21" t="s">
        <v>16</v>
      </c>
    </row>
    <row r="10" hidden="1" spans="2:11">
      <c r="B10" s="8" t="s">
        <v>28</v>
      </c>
      <c r="C10" s="9">
        <v>4100</v>
      </c>
      <c r="D10" s="10">
        <f>D7*0.1</f>
        <v>4175</v>
      </c>
      <c r="F10" s="19">
        <v>44929</v>
      </c>
      <c r="G10" s="20" t="s">
        <v>29</v>
      </c>
      <c r="H10" s="21" t="s">
        <v>30</v>
      </c>
      <c r="I10" s="25">
        <v>3474.18</v>
      </c>
      <c r="J10" s="21" t="s">
        <v>31</v>
      </c>
      <c r="K10" s="21" t="s">
        <v>16</v>
      </c>
    </row>
    <row r="11" hidden="1" spans="2:11">
      <c r="B11" s="8" t="s">
        <v>32</v>
      </c>
      <c r="C11" s="9">
        <v>300</v>
      </c>
      <c r="D11" s="10">
        <v>300</v>
      </c>
      <c r="F11" s="19">
        <v>44929</v>
      </c>
      <c r="G11" s="20" t="s">
        <v>33</v>
      </c>
      <c r="H11" s="21" t="s">
        <v>34</v>
      </c>
      <c r="I11" s="25">
        <v>680</v>
      </c>
      <c r="J11" s="21" t="s">
        <v>35</v>
      </c>
      <c r="K11" s="21" t="s">
        <v>16</v>
      </c>
    </row>
    <row r="12" hidden="1" spans="2:11">
      <c r="B12" s="8" t="s">
        <v>36</v>
      </c>
      <c r="C12" s="9">
        <v>3933.31</v>
      </c>
      <c r="D12" s="10">
        <v>3933.31</v>
      </c>
      <c r="F12" s="19">
        <v>44931</v>
      </c>
      <c r="G12" s="20" t="s">
        <v>21</v>
      </c>
      <c r="H12" s="21" t="s">
        <v>37</v>
      </c>
      <c r="I12" s="25">
        <v>100</v>
      </c>
      <c r="J12" s="21" t="s">
        <v>23</v>
      </c>
      <c r="K12" s="21" t="s">
        <v>16</v>
      </c>
    </row>
    <row r="13" hidden="1" spans="2:11">
      <c r="B13" s="8" t="s">
        <v>38</v>
      </c>
      <c r="C13" s="9">
        <v>680</v>
      </c>
      <c r="D13" s="10">
        <v>680</v>
      </c>
      <c r="F13" s="19">
        <v>44931</v>
      </c>
      <c r="G13" s="20" t="s">
        <v>39</v>
      </c>
      <c r="H13" s="21" t="s">
        <v>40</v>
      </c>
      <c r="I13" s="25">
        <v>4100</v>
      </c>
      <c r="J13" s="21" t="s">
        <v>28</v>
      </c>
      <c r="K13" s="21" t="s">
        <v>16</v>
      </c>
    </row>
    <row r="14" hidden="1" spans="2:11">
      <c r="B14" s="8" t="s">
        <v>27</v>
      </c>
      <c r="C14" s="9">
        <v>10500</v>
      </c>
      <c r="D14" s="10">
        <v>10500</v>
      </c>
      <c r="F14" s="19">
        <v>44931</v>
      </c>
      <c r="G14" s="20" t="s">
        <v>39</v>
      </c>
      <c r="H14" s="21" t="s">
        <v>41</v>
      </c>
      <c r="I14" s="25">
        <v>300</v>
      </c>
      <c r="J14" s="21" t="s">
        <v>32</v>
      </c>
      <c r="K14" s="21" t="s">
        <v>16</v>
      </c>
    </row>
    <row r="15" hidden="1" spans="2:11">
      <c r="B15" s="8" t="s">
        <v>31</v>
      </c>
      <c r="C15" s="9">
        <v>3300</v>
      </c>
      <c r="D15" s="10">
        <v>3474.18</v>
      </c>
      <c r="F15" s="19">
        <v>44932</v>
      </c>
      <c r="G15" s="20" t="s">
        <v>21</v>
      </c>
      <c r="H15" s="21" t="s">
        <v>22</v>
      </c>
      <c r="I15" s="25">
        <v>500</v>
      </c>
      <c r="J15" s="3" t="s">
        <v>23</v>
      </c>
      <c r="K15" s="21" t="s">
        <v>16</v>
      </c>
    </row>
    <row r="16" spans="2:11">
      <c r="B16" s="8" t="s">
        <v>42</v>
      </c>
      <c r="C16" s="9">
        <v>3626.64</v>
      </c>
      <c r="D16" s="10">
        <f>3345.97</f>
        <v>3345.97</v>
      </c>
      <c r="F16" s="19">
        <v>44932</v>
      </c>
      <c r="G16" s="20" t="s">
        <v>43</v>
      </c>
      <c r="H16" s="21" t="s">
        <v>44</v>
      </c>
      <c r="I16" s="25">
        <v>150</v>
      </c>
      <c r="J16" s="21" t="s">
        <v>12</v>
      </c>
      <c r="K16" s="21" t="s">
        <v>16</v>
      </c>
    </row>
    <row r="17" hidden="1" spans="2:11">
      <c r="B17" s="8" t="s">
        <v>45</v>
      </c>
      <c r="C17" s="9">
        <v>5400</v>
      </c>
      <c r="D17" s="10">
        <v>5565.13</v>
      </c>
      <c r="F17" s="19">
        <v>44936</v>
      </c>
      <c r="G17" s="20" t="s">
        <v>18</v>
      </c>
      <c r="H17" s="21" t="s">
        <v>19</v>
      </c>
      <c r="I17" s="25">
        <v>1600</v>
      </c>
      <c r="J17" s="21" t="s">
        <v>20</v>
      </c>
      <c r="K17" s="21" t="s">
        <v>16</v>
      </c>
    </row>
    <row r="18" hidden="1" spans="2:11">
      <c r="B18" s="12" t="s">
        <v>23</v>
      </c>
      <c r="C18" s="13">
        <v>2500</v>
      </c>
      <c r="D18" s="56">
        <f>SUMIF($J$6:$J$36,B18,$I$6:$I$36)</f>
        <v>2400</v>
      </c>
      <c r="F18" s="19">
        <v>44937</v>
      </c>
      <c r="G18" s="20" t="s">
        <v>46</v>
      </c>
      <c r="H18" s="21" t="s">
        <v>47</v>
      </c>
      <c r="I18" s="25">
        <v>3933.31</v>
      </c>
      <c r="J18" s="21" t="s">
        <v>36</v>
      </c>
      <c r="K18" s="21" t="s">
        <v>16</v>
      </c>
    </row>
    <row r="19" spans="2:11">
      <c r="B19" s="8" t="s">
        <v>20</v>
      </c>
      <c r="C19" s="9">
        <v>5000</v>
      </c>
      <c r="D19" s="56">
        <f>SUMIF($J$6:$J$36,B19,$I$6:$I$36)</f>
        <v>5200</v>
      </c>
      <c r="F19" s="19">
        <v>44937</v>
      </c>
      <c r="G19" s="20" t="s">
        <v>43</v>
      </c>
      <c r="H19" s="21" t="s">
        <v>48</v>
      </c>
      <c r="I19" s="25">
        <v>150</v>
      </c>
      <c r="J19" s="21" t="s">
        <v>12</v>
      </c>
      <c r="K19" s="21" t="s">
        <v>16</v>
      </c>
    </row>
    <row r="20" hidden="1" spans="2:11">
      <c r="B20" s="8" t="s">
        <v>12</v>
      </c>
      <c r="C20" s="9">
        <v>1500</v>
      </c>
      <c r="D20" s="56">
        <f>SUMIF($J$6:$J$36,B20,$I$6:$I$36)</f>
        <v>2070</v>
      </c>
      <c r="F20" s="19">
        <v>44938</v>
      </c>
      <c r="G20" s="20" t="s">
        <v>21</v>
      </c>
      <c r="H20" s="21" t="s">
        <v>37</v>
      </c>
      <c r="I20" s="25">
        <v>100</v>
      </c>
      <c r="J20" s="3" t="s">
        <v>23</v>
      </c>
      <c r="K20" s="21" t="s">
        <v>16</v>
      </c>
    </row>
    <row r="21" hidden="1" spans="2:11">
      <c r="B21" s="8" t="s">
        <v>49</v>
      </c>
      <c r="C21" s="9">
        <v>160</v>
      </c>
      <c r="D21" s="10">
        <v>181</v>
      </c>
      <c r="F21" s="19">
        <v>44938</v>
      </c>
      <c r="G21" s="20" t="s">
        <v>50</v>
      </c>
      <c r="H21" s="21" t="s">
        <v>51</v>
      </c>
      <c r="I21" s="25">
        <v>750</v>
      </c>
      <c r="J21" s="21" t="s">
        <v>52</v>
      </c>
      <c r="K21" s="21" t="s">
        <v>16</v>
      </c>
    </row>
    <row r="22" hidden="1" spans="2:11">
      <c r="B22" s="11" t="s">
        <v>53</v>
      </c>
      <c r="C22" s="9">
        <f>SUM(C10:C21)</f>
        <v>40999.95</v>
      </c>
      <c r="D22" s="10">
        <f>SUM(D10:D21)</f>
        <v>41824.59</v>
      </c>
      <c r="F22" s="19">
        <v>44938</v>
      </c>
      <c r="G22" s="20" t="s">
        <v>39</v>
      </c>
      <c r="H22" s="21" t="s">
        <v>40</v>
      </c>
      <c r="I22" s="25">
        <v>75</v>
      </c>
      <c r="J22" s="21" t="s">
        <v>28</v>
      </c>
      <c r="K22" s="21" t="s">
        <v>16</v>
      </c>
    </row>
    <row r="23" hidden="1" spans="6:11">
      <c r="F23" s="19">
        <v>44939</v>
      </c>
      <c r="G23" s="20" t="s">
        <v>21</v>
      </c>
      <c r="H23" s="21" t="s">
        <v>22</v>
      </c>
      <c r="I23" s="25">
        <v>400</v>
      </c>
      <c r="J23" s="3" t="s">
        <v>23</v>
      </c>
      <c r="K23" s="21" t="s">
        <v>16</v>
      </c>
    </row>
    <row r="24" ht="18.75" hidden="1" spans="2:11">
      <c r="B24" s="6" t="s">
        <v>54</v>
      </c>
      <c r="C24" s="7" t="s">
        <v>2</v>
      </c>
      <c r="D24" s="7" t="s">
        <v>3</v>
      </c>
      <c r="F24" s="19">
        <v>44943</v>
      </c>
      <c r="G24" s="20" t="s">
        <v>18</v>
      </c>
      <c r="H24" s="21" t="s">
        <v>19</v>
      </c>
      <c r="I24" s="25">
        <v>1470</v>
      </c>
      <c r="J24" s="21" t="s">
        <v>20</v>
      </c>
      <c r="K24" s="21" t="s">
        <v>16</v>
      </c>
    </row>
    <row r="25" hidden="1" spans="2:11">
      <c r="B25" s="8" t="s">
        <v>55</v>
      </c>
      <c r="C25" s="9">
        <f>C7</f>
        <v>41000</v>
      </c>
      <c r="D25" s="10">
        <f>D7</f>
        <v>41750</v>
      </c>
      <c r="F25" s="19">
        <v>44944</v>
      </c>
      <c r="G25" s="20" t="s">
        <v>56</v>
      </c>
      <c r="H25" s="21" t="s">
        <v>57</v>
      </c>
      <c r="I25" s="25">
        <v>3345.97</v>
      </c>
      <c r="J25" s="21" t="s">
        <v>42</v>
      </c>
      <c r="K25" s="21" t="s">
        <v>16</v>
      </c>
    </row>
    <row r="26" hidden="1" spans="2:11">
      <c r="B26" s="8" t="s">
        <v>58</v>
      </c>
      <c r="C26" s="9">
        <f>C22</f>
        <v>40999.95</v>
      </c>
      <c r="D26" s="10">
        <f>D22</f>
        <v>41824.59</v>
      </c>
      <c r="F26" s="19">
        <v>44944</v>
      </c>
      <c r="G26" s="20" t="s">
        <v>59</v>
      </c>
      <c r="H26" s="21" t="s">
        <v>60</v>
      </c>
      <c r="I26" s="25">
        <v>5565.13</v>
      </c>
      <c r="J26" s="21" t="s">
        <v>45</v>
      </c>
      <c r="K26" s="21" t="s">
        <v>16</v>
      </c>
    </row>
    <row r="27" spans="2:11">
      <c r="B27" s="14" t="s">
        <v>61</v>
      </c>
      <c r="C27" s="9">
        <f>C25-C26</f>
        <v>0.0500000000029104</v>
      </c>
      <c r="D27" s="10">
        <f>D25-D26</f>
        <v>-74.5899999999965</v>
      </c>
      <c r="F27" s="19">
        <v>44944</v>
      </c>
      <c r="G27" s="20" t="s">
        <v>62</v>
      </c>
      <c r="H27" s="21" t="s">
        <v>63</v>
      </c>
      <c r="I27" s="25">
        <v>1200</v>
      </c>
      <c r="J27" s="21" t="s">
        <v>12</v>
      </c>
      <c r="K27" s="21" t="s">
        <v>16</v>
      </c>
    </row>
    <row r="28" hidden="1" spans="6:11">
      <c r="F28" s="22">
        <v>44945</v>
      </c>
      <c r="G28" s="23" t="s">
        <v>21</v>
      </c>
      <c r="H28" s="24" t="s">
        <v>37</v>
      </c>
      <c r="I28" s="26">
        <v>100</v>
      </c>
      <c r="J28" s="3" t="s">
        <v>23</v>
      </c>
      <c r="K28" s="24" t="s">
        <v>16</v>
      </c>
    </row>
    <row r="29" hidden="1" spans="6:11">
      <c r="F29" s="19">
        <v>44946</v>
      </c>
      <c r="G29" s="20" t="s">
        <v>21</v>
      </c>
      <c r="H29" s="21" t="s">
        <v>22</v>
      </c>
      <c r="I29" s="25">
        <v>500</v>
      </c>
      <c r="J29" s="21" t="s">
        <v>23</v>
      </c>
      <c r="K29" s="21" t="s">
        <v>16</v>
      </c>
    </row>
    <row r="30" hidden="1" spans="6:11">
      <c r="F30" s="19">
        <v>44950</v>
      </c>
      <c r="G30" s="20" t="s">
        <v>18</v>
      </c>
      <c r="H30" s="21" t="s">
        <v>19</v>
      </c>
      <c r="I30" s="25">
        <v>1050</v>
      </c>
      <c r="J30" s="21" t="s">
        <v>20</v>
      </c>
      <c r="K30" s="21" t="s">
        <v>16</v>
      </c>
    </row>
    <row r="31" hidden="1" spans="6:11">
      <c r="F31" s="19">
        <v>44951</v>
      </c>
      <c r="G31" s="20" t="s">
        <v>21</v>
      </c>
      <c r="H31" s="21" t="s">
        <v>64</v>
      </c>
      <c r="I31" s="25">
        <v>100</v>
      </c>
      <c r="J31" s="21" t="s">
        <v>23</v>
      </c>
      <c r="K31" s="21" t="s">
        <v>16</v>
      </c>
    </row>
    <row r="32" spans="6:11">
      <c r="F32" s="19">
        <v>44951</v>
      </c>
      <c r="G32" s="20" t="s">
        <v>65</v>
      </c>
      <c r="H32" s="21" t="s">
        <v>66</v>
      </c>
      <c r="I32" s="25">
        <v>370</v>
      </c>
      <c r="J32" s="21" t="s">
        <v>12</v>
      </c>
      <c r="K32" s="21" t="s">
        <v>16</v>
      </c>
    </row>
    <row r="33" hidden="1" spans="6:11">
      <c r="F33" s="19">
        <v>44952</v>
      </c>
      <c r="G33" s="20" t="s">
        <v>21</v>
      </c>
      <c r="H33" s="21" t="s">
        <v>37</v>
      </c>
      <c r="I33" s="25">
        <v>100</v>
      </c>
      <c r="J33" s="21" t="s">
        <v>23</v>
      </c>
      <c r="K33" s="21" t="s">
        <v>16</v>
      </c>
    </row>
    <row r="34" hidden="1" spans="6:11">
      <c r="F34" s="19">
        <v>44953</v>
      </c>
      <c r="G34" s="20" t="s">
        <v>21</v>
      </c>
      <c r="H34" s="21" t="s">
        <v>22</v>
      </c>
      <c r="I34" s="25">
        <v>400</v>
      </c>
      <c r="J34" s="21" t="s">
        <v>23</v>
      </c>
      <c r="K34" s="21" t="s">
        <v>16</v>
      </c>
    </row>
    <row r="35" spans="6:11">
      <c r="F35" s="19">
        <v>44954</v>
      </c>
      <c r="G35" s="20" t="s">
        <v>43</v>
      </c>
      <c r="H35" s="21" t="s">
        <v>48</v>
      </c>
      <c r="I35" s="25">
        <v>200</v>
      </c>
      <c r="J35" s="21" t="s">
        <v>12</v>
      </c>
      <c r="K35" s="21" t="s">
        <v>16</v>
      </c>
    </row>
    <row r="36" hidden="1" spans="6:11">
      <c r="F36" s="19">
        <v>44954</v>
      </c>
      <c r="G36" s="20" t="s">
        <v>67</v>
      </c>
      <c r="H36" s="21" t="s">
        <v>68</v>
      </c>
      <c r="I36" s="25">
        <v>181</v>
      </c>
      <c r="J36" s="21" t="s">
        <v>49</v>
      </c>
      <c r="K36" s="21" t="s">
        <v>16</v>
      </c>
    </row>
    <row r="37" spans="6:11">
      <c r="F37" s="19"/>
      <c r="G37" s="20"/>
      <c r="H37" s="21"/>
      <c r="I37" s="21"/>
      <c r="J37" s="21"/>
      <c r="K37" s="21"/>
    </row>
    <row r="38" spans="6:11">
      <c r="F38" s="19"/>
      <c r="G38" s="20"/>
      <c r="H38" s="21"/>
      <c r="I38" s="21"/>
      <c r="J38" s="21"/>
      <c r="K38" s="21"/>
    </row>
    <row r="39" spans="6:11">
      <c r="F39" s="19"/>
      <c r="G39" s="20"/>
      <c r="H39" s="21"/>
      <c r="I39" s="21"/>
      <c r="J39" s="21"/>
      <c r="K39" s="21"/>
    </row>
    <row r="40" spans="6:11">
      <c r="F40" s="19"/>
      <c r="G40" s="20"/>
      <c r="H40" s="21"/>
      <c r="I40" s="21"/>
      <c r="J40" s="21"/>
      <c r="K40" s="21"/>
    </row>
    <row r="41" spans="6:11">
      <c r="F41" s="19"/>
      <c r="G41" s="20"/>
      <c r="H41" s="21"/>
      <c r="I41" s="21"/>
      <c r="J41" s="21"/>
      <c r="K41" s="21"/>
    </row>
  </sheetData>
  <autoFilter ref="F5:K36">
    <filterColumn colId="4">
      <filters>
        <filter val="Other"/>
      </filters>
    </filterColumn>
    <extLst/>
  </autoFilter>
  <mergeCells count="1">
    <mergeCell ref="F4:K4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42"/>
  <sheetViews>
    <sheetView topLeftCell="A7" workbookViewId="0">
      <selection activeCell="E21" sqref="E21"/>
    </sheetView>
  </sheetViews>
  <sheetFormatPr defaultColWidth="11" defaultRowHeight="15.75"/>
  <cols>
    <col min="1" max="1" width="3.16666666666667" style="28" customWidth="1"/>
    <col min="2" max="2" width="21.3333333333333" style="28" customWidth="1"/>
    <col min="3" max="4" width="11" style="28"/>
    <col min="5" max="5" width="7.33333333333333" style="28" customWidth="1"/>
    <col min="6" max="6" width="10.8333333333333" style="29"/>
    <col min="7" max="7" width="27.6666666666667" style="30" customWidth="1"/>
    <col min="8" max="8" width="26" style="31" customWidth="1"/>
    <col min="9" max="9" width="10.8333333333333" style="31"/>
    <col min="10" max="10" width="18.1666666666667" style="31" customWidth="1"/>
    <col min="11" max="11" width="20.8333333333333" style="31" customWidth="1"/>
    <col min="12" max="16384" width="11" style="28"/>
  </cols>
  <sheetData>
    <row r="2" ht="23.25" spans="2:2">
      <c r="B2" s="32" t="s">
        <v>69</v>
      </c>
    </row>
    <row r="4" ht="21" spans="2:11">
      <c r="B4" s="6" t="s">
        <v>1</v>
      </c>
      <c r="C4" s="7" t="s">
        <v>2</v>
      </c>
      <c r="D4" s="7" t="s">
        <v>3</v>
      </c>
      <c r="F4" s="40" t="s">
        <v>4</v>
      </c>
      <c r="G4" s="40"/>
      <c r="H4" s="40"/>
      <c r="I4" s="40"/>
      <c r="J4" s="40"/>
      <c r="K4" s="40"/>
    </row>
    <row r="5" spans="2:11">
      <c r="B5" s="8" t="s">
        <v>5</v>
      </c>
      <c r="C5" s="9">
        <v>41000</v>
      </c>
      <c r="D5" s="10">
        <v>41000</v>
      </c>
      <c r="F5" s="41" t="s">
        <v>6</v>
      </c>
      <c r="G5" s="42" t="s">
        <v>7</v>
      </c>
      <c r="H5" s="43" t="s">
        <v>8</v>
      </c>
      <c r="I5" s="43" t="s">
        <v>9</v>
      </c>
      <c r="J5" s="43" t="s">
        <v>10</v>
      </c>
      <c r="K5" s="43" t="s">
        <v>11</v>
      </c>
    </row>
    <row r="6" spans="2:11">
      <c r="B6" s="8" t="s">
        <v>12</v>
      </c>
      <c r="C6" s="9">
        <v>0</v>
      </c>
      <c r="D6" s="10">
        <v>0</v>
      </c>
      <c r="F6" s="44">
        <v>44958</v>
      </c>
      <c r="G6" s="45" t="s">
        <v>13</v>
      </c>
      <c r="H6" s="46" t="s">
        <v>14</v>
      </c>
      <c r="I6" s="51">
        <v>41000</v>
      </c>
      <c r="J6" s="46" t="s">
        <v>15</v>
      </c>
      <c r="K6" s="46" t="s">
        <v>16</v>
      </c>
    </row>
    <row r="7" spans="2:11">
      <c r="B7" s="11" t="s">
        <v>17</v>
      </c>
      <c r="C7" s="9">
        <f>SUM(C5:C6)</f>
        <v>41000</v>
      </c>
      <c r="D7" s="10">
        <f>SUM(D5:D6)</f>
        <v>41000</v>
      </c>
      <c r="F7" s="47">
        <v>45689</v>
      </c>
      <c r="G7" s="47" t="s">
        <v>25</v>
      </c>
      <c r="H7" s="47" t="s">
        <v>26</v>
      </c>
      <c r="I7" s="52">
        <v>10500</v>
      </c>
      <c r="J7" s="47" t="s">
        <v>27</v>
      </c>
      <c r="K7" s="47" t="s">
        <v>16</v>
      </c>
    </row>
    <row r="8" spans="6:11">
      <c r="F8" s="47">
        <v>45689</v>
      </c>
      <c r="G8" s="47" t="s">
        <v>31</v>
      </c>
      <c r="H8" s="47" t="s">
        <v>70</v>
      </c>
      <c r="I8" s="52">
        <v>3611.39</v>
      </c>
      <c r="J8" s="47" t="s">
        <v>31</v>
      </c>
      <c r="K8" s="47" t="s">
        <v>16</v>
      </c>
    </row>
    <row r="9" ht="18.75" spans="2:11">
      <c r="B9" s="33" t="s">
        <v>24</v>
      </c>
      <c r="C9" s="34" t="s">
        <v>2</v>
      </c>
      <c r="D9" s="34" t="s">
        <v>3</v>
      </c>
      <c r="F9" s="47">
        <v>45691</v>
      </c>
      <c r="G9" s="47" t="s">
        <v>39</v>
      </c>
      <c r="H9" s="47" t="s">
        <v>28</v>
      </c>
      <c r="I9" s="52">
        <v>4100</v>
      </c>
      <c r="J9" s="47" t="s">
        <v>28</v>
      </c>
      <c r="K9" s="47" t="s">
        <v>16</v>
      </c>
    </row>
    <row r="10" spans="2:11">
      <c r="B10" s="35" t="s">
        <v>28</v>
      </c>
      <c r="C10" s="36">
        <v>4100</v>
      </c>
      <c r="D10" s="37">
        <f t="shared" ref="D10:D21" si="0">SUMIF($J$6:$J$42,B10,$I$6:$I$42)</f>
        <v>4100</v>
      </c>
      <c r="F10" s="47">
        <v>45691</v>
      </c>
      <c r="G10" s="47" t="s">
        <v>39</v>
      </c>
      <c r="H10" s="47" t="s">
        <v>41</v>
      </c>
      <c r="I10" s="52">
        <v>300</v>
      </c>
      <c r="J10" s="47" t="s">
        <v>32</v>
      </c>
      <c r="K10" s="47" t="s">
        <v>16</v>
      </c>
    </row>
    <row r="11" spans="2:11">
      <c r="B11" s="35" t="s">
        <v>32</v>
      </c>
      <c r="C11" s="36">
        <v>300</v>
      </c>
      <c r="D11" s="37">
        <f t="shared" si="0"/>
        <v>300</v>
      </c>
      <c r="F11" s="47">
        <v>45692</v>
      </c>
      <c r="G11" s="47" t="s">
        <v>21</v>
      </c>
      <c r="H11" s="47" t="s">
        <v>37</v>
      </c>
      <c r="I11" s="52">
        <v>500</v>
      </c>
      <c r="J11" s="47" t="s">
        <v>23</v>
      </c>
      <c r="K11" s="47" t="s">
        <v>16</v>
      </c>
    </row>
    <row r="12" spans="2:11">
      <c r="B12" s="35" t="s">
        <v>36</v>
      </c>
      <c r="C12" s="36">
        <v>3933.31</v>
      </c>
      <c r="D12" s="37">
        <f t="shared" si="0"/>
        <v>0</v>
      </c>
      <c r="F12" s="47">
        <v>45692</v>
      </c>
      <c r="G12" s="47" t="s">
        <v>18</v>
      </c>
      <c r="H12" s="47" t="s">
        <v>71</v>
      </c>
      <c r="I12" s="52">
        <v>1293.75</v>
      </c>
      <c r="J12" s="47" t="s">
        <v>20</v>
      </c>
      <c r="K12" s="47" t="s">
        <v>16</v>
      </c>
    </row>
    <row r="13" spans="2:11">
      <c r="B13" s="35" t="s">
        <v>38</v>
      </c>
      <c r="C13" s="36">
        <v>680</v>
      </c>
      <c r="D13" s="37">
        <f t="shared" si="0"/>
        <v>0</v>
      </c>
      <c r="F13" s="44"/>
      <c r="G13" s="44"/>
      <c r="H13" s="44"/>
      <c r="I13" s="53"/>
      <c r="J13" s="44"/>
      <c r="K13" s="44"/>
    </row>
    <row r="14" spans="2:11">
      <c r="B14" s="35" t="s">
        <v>27</v>
      </c>
      <c r="C14" s="36">
        <v>10500</v>
      </c>
      <c r="D14" s="37">
        <f t="shared" si="0"/>
        <v>10500</v>
      </c>
      <c r="F14" s="44"/>
      <c r="G14" s="45"/>
      <c r="H14" s="46"/>
      <c r="I14" s="54"/>
      <c r="J14" s="46"/>
      <c r="K14" s="46"/>
    </row>
    <row r="15" spans="2:11">
      <c r="B15" s="35" t="s">
        <v>31</v>
      </c>
      <c r="C15" s="36">
        <v>3300</v>
      </c>
      <c r="D15" s="37">
        <f t="shared" si="0"/>
        <v>3611.39</v>
      </c>
      <c r="F15" s="44"/>
      <c r="G15" s="45"/>
      <c r="H15" s="46"/>
      <c r="I15" s="54"/>
      <c r="K15" s="46"/>
    </row>
    <row r="16" spans="2:11">
      <c r="B16" s="35" t="s">
        <v>42</v>
      </c>
      <c r="C16" s="36">
        <v>3626.64</v>
      </c>
      <c r="D16" s="37">
        <f t="shared" si="0"/>
        <v>0</v>
      </c>
      <c r="F16" s="44"/>
      <c r="G16" s="45"/>
      <c r="H16" s="46"/>
      <c r="I16" s="54"/>
      <c r="J16" s="46"/>
      <c r="K16" s="46"/>
    </row>
    <row r="17" spans="2:11">
      <c r="B17" s="35" t="s">
        <v>45</v>
      </c>
      <c r="C17" s="36">
        <v>5400</v>
      </c>
      <c r="D17" s="37">
        <f t="shared" si="0"/>
        <v>0</v>
      </c>
      <c r="F17" s="44"/>
      <c r="G17" s="45"/>
      <c r="H17" s="46"/>
      <c r="I17" s="54"/>
      <c r="J17" s="46"/>
      <c r="K17" s="46"/>
    </row>
    <row r="18" spans="2:11">
      <c r="B18" s="38" t="s">
        <v>23</v>
      </c>
      <c r="C18" s="39">
        <v>2500</v>
      </c>
      <c r="D18" s="37">
        <f t="shared" si="0"/>
        <v>500</v>
      </c>
      <c r="F18" s="44"/>
      <c r="G18" s="45"/>
      <c r="H18" s="46"/>
      <c r="I18" s="54"/>
      <c r="J18" s="46"/>
      <c r="K18" s="46"/>
    </row>
    <row r="19" spans="2:11">
      <c r="B19" s="35" t="s">
        <v>20</v>
      </c>
      <c r="C19" s="36">
        <v>5000</v>
      </c>
      <c r="D19" s="37">
        <f t="shared" si="0"/>
        <v>1293.75</v>
      </c>
      <c r="F19" s="44"/>
      <c r="G19" s="45"/>
      <c r="H19" s="46"/>
      <c r="I19" s="54"/>
      <c r="J19" s="46"/>
      <c r="K19" s="46"/>
    </row>
    <row r="20" spans="2:11">
      <c r="B20" s="35" t="s">
        <v>12</v>
      </c>
      <c r="C20" s="36">
        <v>1000</v>
      </c>
      <c r="D20" s="37">
        <f t="shared" si="0"/>
        <v>0</v>
      </c>
      <c r="F20" s="44"/>
      <c r="G20" s="45"/>
      <c r="H20" s="46"/>
      <c r="I20" s="54"/>
      <c r="J20" s="46"/>
      <c r="K20" s="46"/>
    </row>
    <row r="21" spans="2:11">
      <c r="B21" s="35" t="s">
        <v>49</v>
      </c>
      <c r="C21" s="36">
        <v>500</v>
      </c>
      <c r="D21" s="37">
        <f t="shared" si="0"/>
        <v>0</v>
      </c>
      <c r="F21" s="44"/>
      <c r="G21" s="45"/>
      <c r="H21" s="46"/>
      <c r="I21" s="54"/>
      <c r="J21" s="46"/>
      <c r="K21" s="46"/>
    </row>
    <row r="22" spans="2:11">
      <c r="B22" s="11" t="s">
        <v>53</v>
      </c>
      <c r="C22" s="9">
        <f>SUM(C10:C21)</f>
        <v>40839.95</v>
      </c>
      <c r="D22" s="10">
        <f>SUM(D10:D21)</f>
        <v>20305.14</v>
      </c>
      <c r="F22" s="44"/>
      <c r="G22" s="45"/>
      <c r="H22" s="46"/>
      <c r="I22" s="54"/>
      <c r="J22" s="46"/>
      <c r="K22" s="46"/>
    </row>
    <row r="23" spans="2:11">
      <c r="B23"/>
      <c r="C23"/>
      <c r="D23"/>
      <c r="F23" s="44"/>
      <c r="G23" s="45"/>
      <c r="H23" s="46"/>
      <c r="I23" s="54"/>
      <c r="J23" s="46"/>
      <c r="K23" s="46"/>
    </row>
    <row r="24" ht="18.75" spans="2:11">
      <c r="B24" s="6" t="s">
        <v>54</v>
      </c>
      <c r="C24" s="7" t="s">
        <v>2</v>
      </c>
      <c r="D24" s="7" t="s">
        <v>3</v>
      </c>
      <c r="F24" s="44"/>
      <c r="G24" s="45"/>
      <c r="H24" s="46"/>
      <c r="I24" s="54"/>
      <c r="J24" s="46"/>
      <c r="K24" s="46"/>
    </row>
    <row r="25" spans="2:11">
      <c r="B25" s="8" t="s">
        <v>55</v>
      </c>
      <c r="C25" s="9">
        <f>C7</f>
        <v>41000</v>
      </c>
      <c r="D25" s="10">
        <f>D7</f>
        <v>41000</v>
      </c>
      <c r="F25" s="44"/>
      <c r="G25" s="45"/>
      <c r="H25" s="46"/>
      <c r="I25" s="54"/>
      <c r="J25" s="46"/>
      <c r="K25" s="46"/>
    </row>
    <row r="26" spans="2:11">
      <c r="B26" s="8" t="s">
        <v>58</v>
      </c>
      <c r="C26" s="9">
        <f>C22</f>
        <v>40839.95</v>
      </c>
      <c r="D26" s="10">
        <f>D22</f>
        <v>20305.14</v>
      </c>
      <c r="F26" s="44"/>
      <c r="G26" s="45"/>
      <c r="H26" s="46"/>
      <c r="I26" s="54"/>
      <c r="J26" s="46"/>
      <c r="K26" s="46"/>
    </row>
    <row r="27" spans="2:11">
      <c r="B27" s="14" t="s">
        <v>61</v>
      </c>
      <c r="C27" s="9">
        <f>C25-C26</f>
        <v>160.050000000003</v>
      </c>
      <c r="D27" s="10">
        <f>D25-D26</f>
        <v>20694.86</v>
      </c>
      <c r="F27" s="44"/>
      <c r="G27" s="45"/>
      <c r="H27" s="46"/>
      <c r="I27" s="54"/>
      <c r="J27" s="46"/>
      <c r="K27" s="46"/>
    </row>
    <row r="28" spans="6:11">
      <c r="F28" s="48"/>
      <c r="G28" s="49"/>
      <c r="H28" s="50"/>
      <c r="I28" s="55"/>
      <c r="K28" s="50"/>
    </row>
    <row r="29" spans="6:11">
      <c r="F29" s="44"/>
      <c r="G29" s="45"/>
      <c r="H29" s="46"/>
      <c r="I29" s="54"/>
      <c r="J29" s="46"/>
      <c r="K29" s="46"/>
    </row>
    <row r="30" spans="6:11">
      <c r="F30" s="44"/>
      <c r="G30" s="45"/>
      <c r="H30" s="46"/>
      <c r="I30" s="54"/>
      <c r="J30" s="46"/>
      <c r="K30" s="46"/>
    </row>
    <row r="31" spans="6:11">
      <c r="F31" s="44"/>
      <c r="G31" s="45"/>
      <c r="H31" s="46"/>
      <c r="I31" s="54"/>
      <c r="J31" s="46"/>
      <c r="K31" s="46"/>
    </row>
    <row r="32" spans="6:11">
      <c r="F32" s="44"/>
      <c r="G32" s="45"/>
      <c r="H32" s="46"/>
      <c r="I32" s="54"/>
      <c r="J32" s="46"/>
      <c r="K32" s="46"/>
    </row>
    <row r="33" spans="6:11">
      <c r="F33" s="44"/>
      <c r="G33" s="45"/>
      <c r="H33" s="46"/>
      <c r="I33" s="54"/>
      <c r="J33" s="46"/>
      <c r="K33" s="46"/>
    </row>
    <row r="34" spans="6:11">
      <c r="F34" s="44"/>
      <c r="G34" s="45"/>
      <c r="H34" s="46"/>
      <c r="I34" s="54"/>
      <c r="J34" s="46"/>
      <c r="K34" s="46"/>
    </row>
    <row r="35" spans="6:11">
      <c r="F35" s="44"/>
      <c r="G35" s="45"/>
      <c r="H35" s="46"/>
      <c r="I35" s="46"/>
      <c r="J35" s="46"/>
      <c r="K35" s="46"/>
    </row>
    <row r="36" spans="6:11">
      <c r="F36" s="44"/>
      <c r="G36" s="45"/>
      <c r="H36" s="46"/>
      <c r="I36" s="46"/>
      <c r="J36" s="46"/>
      <c r="K36" s="46"/>
    </row>
    <row r="37" spans="6:11">
      <c r="F37" s="44"/>
      <c r="G37" s="45"/>
      <c r="H37" s="46"/>
      <c r="I37" s="46"/>
      <c r="J37" s="46"/>
      <c r="K37" s="46"/>
    </row>
    <row r="38" spans="6:11">
      <c r="F38" s="44"/>
      <c r="G38" s="45"/>
      <c r="H38" s="46"/>
      <c r="I38" s="46"/>
      <c r="J38" s="46"/>
      <c r="K38" s="46"/>
    </row>
    <row r="39" spans="6:11">
      <c r="F39" s="44"/>
      <c r="G39" s="45"/>
      <c r="H39" s="46"/>
      <c r="I39" s="46"/>
      <c r="J39" s="46"/>
      <c r="K39" s="46"/>
    </row>
    <row r="40" spans="6:11">
      <c r="F40" s="44"/>
      <c r="G40" s="45"/>
      <c r="H40" s="46"/>
      <c r="I40" s="46"/>
      <c r="J40" s="46"/>
      <c r="K40" s="46"/>
    </row>
    <row r="41" spans="6:11">
      <c r="F41" s="44"/>
      <c r="G41" s="45"/>
      <c r="H41" s="46"/>
      <c r="I41" s="46"/>
      <c r="J41" s="46"/>
      <c r="K41" s="46"/>
    </row>
    <row r="42" spans="6:11">
      <c r="F42" s="44"/>
      <c r="G42" s="45"/>
      <c r="H42" s="46"/>
      <c r="I42" s="46"/>
      <c r="J42" s="46"/>
      <c r="K42" s="46"/>
    </row>
  </sheetData>
  <sheetProtection algorithmName="SHA-512" hashValue="xu9+CsMkzoKEGvRuzQrXl83uISlIwEWxTVJIzwZtnKCA76ODaUCiMSBck9VQU4AVRcdvO+NJR4bAe9bYbAsHBQ==" saltValue="EXqyG6okXH2/HXXY9iqFvg==" spinCount="100000" sheet="1" selectLockedCells="1" objects="1" scenarios="1"/>
  <mergeCells count="1">
    <mergeCell ref="F4:K4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3"/>
  <sheetViews>
    <sheetView tabSelected="1" zoomScale="130" zoomScaleNormal="130" workbookViewId="0">
      <selection activeCell="A1" sqref="$A1:$XFD1048576"/>
    </sheetView>
  </sheetViews>
  <sheetFormatPr defaultColWidth="8.83333333333333" defaultRowHeight="15.75" outlineLevelCol="1"/>
  <cols>
    <col min="1" max="1" width="18.6666666666667" customWidth="1"/>
  </cols>
  <sheetData>
    <row r="1" spans="1:2">
      <c r="A1" s="27" t="s">
        <v>72</v>
      </c>
      <c r="B1" s="27"/>
    </row>
    <row r="3" spans="1:2">
      <c r="A3" t="s">
        <v>73</v>
      </c>
      <c r="B3" t="str">
        <f>IF(January!D18-2400=0,"Correct","Error")</f>
        <v>Correct</v>
      </c>
    </row>
    <row r="4" spans="1:2">
      <c r="A4" t="s">
        <v>74</v>
      </c>
      <c r="B4" t="str">
        <f>IF(January!D19-5200=0,"Correct","Error")</f>
        <v>Correct</v>
      </c>
    </row>
    <row r="5" spans="1:2">
      <c r="A5" t="s">
        <v>75</v>
      </c>
      <c r="B5" t="str">
        <f>IF(January!D20-2070=0,"Correct","Error")</f>
        <v>Correct</v>
      </c>
    </row>
    <row r="7" spans="1:2">
      <c r="A7" t="s">
        <v>76</v>
      </c>
      <c r="B7" t="str">
        <f>IF(February!D10-4100=0,"Correct","Error")</f>
        <v>Correct</v>
      </c>
    </row>
    <row r="8" spans="1:2">
      <c r="A8" t="s">
        <v>77</v>
      </c>
      <c r="B8" t="str">
        <f>IF(February!D11-300=0,"Correct","Error")</f>
        <v>Correct</v>
      </c>
    </row>
    <row r="9" spans="1:2">
      <c r="A9" t="s">
        <v>78</v>
      </c>
      <c r="B9" t="str">
        <f>IF(February!D12-0=0,"Correct","Error")</f>
        <v>Correct</v>
      </c>
    </row>
    <row r="10" spans="1:2">
      <c r="A10" t="s">
        <v>79</v>
      </c>
      <c r="B10" t="str">
        <f>IF(February!D13-0=0,"Correct","Error")</f>
        <v>Correct</v>
      </c>
    </row>
    <row r="11" spans="1:2">
      <c r="A11" t="s">
        <v>80</v>
      </c>
      <c r="B11" t="str">
        <f>IF(February!D14-10500=0,"Correct","Error")</f>
        <v>Correct</v>
      </c>
    </row>
    <row r="12" spans="1:2">
      <c r="A12" t="s">
        <v>81</v>
      </c>
      <c r="B12" t="str">
        <f>IF(February!D15-3611.39=0,"Correct","Error")</f>
        <v>Correct</v>
      </c>
    </row>
    <row r="13" spans="1:2">
      <c r="A13" t="s">
        <v>82</v>
      </c>
      <c r="B13" t="str">
        <f>IF(February!D16-0=0,"Correct","Error")</f>
        <v>Correct</v>
      </c>
    </row>
    <row r="14" spans="1:2">
      <c r="A14" t="s">
        <v>83</v>
      </c>
      <c r="B14" t="str">
        <f>IF(February!D17-0=0,"Correct","Error")</f>
        <v>Correct</v>
      </c>
    </row>
    <row r="15" spans="1:2">
      <c r="A15" t="s">
        <v>84</v>
      </c>
      <c r="B15" t="str">
        <f>IF(February!D18-500=0,"Correct","Error")</f>
        <v>Correct</v>
      </c>
    </row>
    <row r="16" spans="1:2">
      <c r="A16" t="s">
        <v>85</v>
      </c>
      <c r="B16" t="str">
        <f>IF(February!D19-1293.75=0,"Correct","Error")</f>
        <v>Correct</v>
      </c>
    </row>
    <row r="17" spans="1:2">
      <c r="A17" t="s">
        <v>86</v>
      </c>
      <c r="B17" t="str">
        <f>IF(February!D20-0=0,"Correct","Error")</f>
        <v>Correct</v>
      </c>
    </row>
    <row r="18" spans="1:2">
      <c r="A18" t="s">
        <v>87</v>
      </c>
      <c r="B18" t="str">
        <f>IF(February!D21-0=0,"Correct","Error")</f>
        <v>Correct</v>
      </c>
    </row>
    <row r="20" spans="1:2">
      <c r="A20" t="s">
        <v>88</v>
      </c>
      <c r="B20" t="str">
        <f>IF(February!C10-4100=0,"Correct","Error")</f>
        <v>Correct</v>
      </c>
    </row>
    <row r="21" spans="1:2">
      <c r="A21" t="s">
        <v>89</v>
      </c>
      <c r="B21" t="str">
        <f>IF(February!C11-300=0,"Correct","Error")</f>
        <v>Correct</v>
      </c>
    </row>
    <row r="22" spans="1:2">
      <c r="A22" t="s">
        <v>90</v>
      </c>
      <c r="B22" t="str">
        <f>IF(February!C12-3933.31=0,"Correct","Error")</f>
        <v>Correct</v>
      </c>
    </row>
    <row r="23" spans="1:2">
      <c r="A23" t="s">
        <v>91</v>
      </c>
      <c r="B23" t="str">
        <f>IF(February!C13-680=0,"Correct","Error")</f>
        <v>Correct</v>
      </c>
    </row>
    <row r="24" spans="1:2">
      <c r="A24" t="s">
        <v>92</v>
      </c>
      <c r="B24" t="str">
        <f>IF(February!C14-10500=0,"Correct","Error")</f>
        <v>Correct</v>
      </c>
    </row>
    <row r="25" spans="1:2">
      <c r="A25" t="s">
        <v>93</v>
      </c>
      <c r="B25" t="s">
        <v>94</v>
      </c>
    </row>
    <row r="26" spans="1:2">
      <c r="A26" t="s">
        <v>95</v>
      </c>
      <c r="B26" t="s">
        <v>94</v>
      </c>
    </row>
    <row r="27" spans="1:2">
      <c r="A27" t="s">
        <v>96</v>
      </c>
      <c r="B27" t="s">
        <v>94</v>
      </c>
    </row>
    <row r="28" spans="1:2">
      <c r="A28" t="s">
        <v>97</v>
      </c>
      <c r="B28" t="s">
        <v>94</v>
      </c>
    </row>
    <row r="29" spans="1:2">
      <c r="A29" t="s">
        <v>98</v>
      </c>
      <c r="B29" t="s">
        <v>94</v>
      </c>
    </row>
    <row r="30" spans="1:2">
      <c r="A30" t="s">
        <v>99</v>
      </c>
      <c r="B30" t="s">
        <v>94</v>
      </c>
    </row>
    <row r="31" spans="1:2">
      <c r="A31" t="s">
        <v>100</v>
      </c>
      <c r="B31" t="str">
        <f>IF(AND(February!C21&gt;=400,February!C21&lt;=600),"Correct","Error")</f>
        <v>Correct</v>
      </c>
    </row>
    <row r="33" spans="1:2">
      <c r="A33" t="s">
        <v>101</v>
      </c>
      <c r="B33" t="str">
        <f>IF((February!C25-February!C26)&gt;=0,"Correct","Error")</f>
        <v>Correct</v>
      </c>
    </row>
  </sheetData>
  <sheetProtection algorithmName="SHA-512" hashValue="Q8xOFe24RakonzsxFGChMFcB4YvmPlKjsG9mp25irPxUk/78mT918Z3egqR1KacDfd+jgXoimBISifrZcFVPvg==" saltValue="KOtB/T1+eVl5f6gudEh4tQ==" spinCount="100000" sheet="1" selectLockedCells="1" selectUnlockedCells="1" objects="1" scenarios="1"/>
  <mergeCells count="1">
    <mergeCell ref="A1:B1"/>
  </mergeCells>
  <conditionalFormatting sqref="B3:B33">
    <cfRule type="containsText" dxfId="0" priority="1" operator="between" text="Error">
      <formula>NOT(ISERROR(SEARCH("Error",B3)))</formula>
    </cfRule>
    <cfRule type="containsText" dxfId="1" priority="2" operator="between" text="Correct">
      <formula>NOT(ISERROR(SEARCH("Correct",B3)))</formula>
    </cfRule>
  </conditionalFormatting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45"/>
  <sheetViews>
    <sheetView zoomScale="70" zoomScaleNormal="70" topLeftCell="A7" workbookViewId="0">
      <selection activeCell="B2" sqref="B2"/>
    </sheetView>
  </sheetViews>
  <sheetFormatPr defaultColWidth="11" defaultRowHeight="15.75"/>
  <cols>
    <col min="1" max="1" width="3.16666666666667" customWidth="1"/>
    <col min="2" max="2" width="21.3333333333333" customWidth="1"/>
    <col min="5" max="5" width="7.33333333333333" customWidth="1"/>
    <col min="6" max="6" width="10.8333333333333" style="1"/>
    <col min="7" max="7" width="27.6666666666667" style="2" customWidth="1"/>
    <col min="8" max="8" width="26" style="3" customWidth="1"/>
    <col min="9" max="9" width="10.8333333333333" style="3"/>
    <col min="10" max="10" width="18.1666666666667" style="3" customWidth="1"/>
    <col min="11" max="11" width="20.8333333333333" style="3" customWidth="1"/>
  </cols>
  <sheetData>
    <row r="2" ht="23.25" spans="2:3">
      <c r="B2" s="4" t="s">
        <v>102</v>
      </c>
      <c r="C2" s="5" t="s">
        <v>103</v>
      </c>
    </row>
    <row r="4" ht="21" spans="2:11">
      <c r="B4" s="6" t="s">
        <v>1</v>
      </c>
      <c r="C4" s="7" t="s">
        <v>2</v>
      </c>
      <c r="D4" s="7" t="s">
        <v>3</v>
      </c>
      <c r="F4" s="15" t="s">
        <v>104</v>
      </c>
      <c r="G4" s="15"/>
      <c r="H4" s="15"/>
      <c r="I4" s="15"/>
      <c r="J4" s="15"/>
      <c r="K4" s="15"/>
    </row>
    <row r="5" spans="2:11">
      <c r="B5" s="8" t="s">
        <v>5</v>
      </c>
      <c r="C5" s="9"/>
      <c r="D5" s="10"/>
      <c r="F5" s="16" t="s">
        <v>6</v>
      </c>
      <c r="G5" s="17" t="s">
        <v>7</v>
      </c>
      <c r="H5" s="18" t="s">
        <v>8</v>
      </c>
      <c r="I5" s="18" t="s">
        <v>9</v>
      </c>
      <c r="J5" s="18" t="s">
        <v>10</v>
      </c>
      <c r="K5" s="18" t="s">
        <v>11</v>
      </c>
    </row>
    <row r="6" spans="2:11">
      <c r="B6" s="8" t="s">
        <v>12</v>
      </c>
      <c r="C6" s="9"/>
      <c r="D6" s="10"/>
      <c r="F6" s="19"/>
      <c r="G6" s="20"/>
      <c r="H6" s="21"/>
      <c r="I6" s="25"/>
      <c r="J6" s="21"/>
      <c r="K6" s="21"/>
    </row>
    <row r="7" spans="2:11">
      <c r="B7" s="11" t="s">
        <v>17</v>
      </c>
      <c r="C7" s="9">
        <f>SUM(C5:C6)</f>
        <v>0</v>
      </c>
      <c r="D7" s="10">
        <f>SUM(D5:D6)</f>
        <v>0</v>
      </c>
      <c r="F7" s="19"/>
      <c r="G7" s="19"/>
      <c r="H7" s="19"/>
      <c r="I7" s="19"/>
      <c r="J7" s="19"/>
      <c r="K7" s="19"/>
    </row>
    <row r="8" spans="6:11">
      <c r="F8" s="19"/>
      <c r="G8" s="19"/>
      <c r="H8" s="19"/>
      <c r="I8" s="19"/>
      <c r="J8" s="19"/>
      <c r="K8" s="19"/>
    </row>
    <row r="9" ht="18.75" spans="2:11">
      <c r="B9" s="6" t="s">
        <v>24</v>
      </c>
      <c r="C9" s="7" t="s">
        <v>2</v>
      </c>
      <c r="D9" s="7" t="s">
        <v>3</v>
      </c>
      <c r="F9" s="19"/>
      <c r="G9" s="19"/>
      <c r="H9" s="19"/>
      <c r="I9" s="19"/>
      <c r="J9" s="19"/>
      <c r="K9" s="19"/>
    </row>
    <row r="10" spans="2:11">
      <c r="B10" s="8" t="s">
        <v>28</v>
      </c>
      <c r="C10" s="9"/>
      <c r="D10" s="10"/>
      <c r="F10" s="19"/>
      <c r="G10" s="19"/>
      <c r="H10" s="19"/>
      <c r="I10" s="19"/>
      <c r="J10" s="19"/>
      <c r="K10" s="19"/>
    </row>
    <row r="11" spans="2:11">
      <c r="B11" s="8" t="s">
        <v>32</v>
      </c>
      <c r="C11" s="9"/>
      <c r="D11" s="10"/>
      <c r="F11" s="19"/>
      <c r="G11" s="19"/>
      <c r="H11" s="19"/>
      <c r="I11" s="19"/>
      <c r="J11" s="19"/>
      <c r="K11" s="19"/>
    </row>
    <row r="12" spans="2:11">
      <c r="B12" s="8" t="s">
        <v>36</v>
      </c>
      <c r="C12" s="9"/>
      <c r="D12" s="10"/>
      <c r="F12" s="19"/>
      <c r="G12" s="19"/>
      <c r="H12" s="19"/>
      <c r="I12" s="19"/>
      <c r="J12" s="19"/>
      <c r="K12" s="19"/>
    </row>
    <row r="13" spans="2:11">
      <c r="B13" s="8" t="s">
        <v>38</v>
      </c>
      <c r="C13" s="9"/>
      <c r="D13" s="10"/>
      <c r="F13" s="19"/>
      <c r="G13" s="19"/>
      <c r="H13" s="19"/>
      <c r="I13" s="19"/>
      <c r="J13" s="19"/>
      <c r="K13" s="19"/>
    </row>
    <row r="14" spans="2:11">
      <c r="B14" s="8" t="s">
        <v>27</v>
      </c>
      <c r="C14" s="9"/>
      <c r="D14" s="10"/>
      <c r="F14" s="19"/>
      <c r="G14" s="20"/>
      <c r="H14" s="21"/>
      <c r="I14" s="25"/>
      <c r="J14" s="21"/>
      <c r="K14" s="21"/>
    </row>
    <row r="15" spans="2:11">
      <c r="B15" s="8" t="s">
        <v>31</v>
      </c>
      <c r="C15" s="9"/>
      <c r="D15" s="10"/>
      <c r="F15" s="19"/>
      <c r="G15" s="20"/>
      <c r="H15" s="21"/>
      <c r="I15" s="25"/>
      <c r="K15" s="21"/>
    </row>
    <row r="16" spans="2:11">
      <c r="B16" s="8" t="s">
        <v>42</v>
      </c>
      <c r="C16" s="9"/>
      <c r="D16" s="10"/>
      <c r="F16" s="19"/>
      <c r="G16" s="20"/>
      <c r="H16" s="21"/>
      <c r="I16" s="25"/>
      <c r="J16" s="21"/>
      <c r="K16" s="21"/>
    </row>
    <row r="17" spans="2:11">
      <c r="B17" s="8" t="s">
        <v>45</v>
      </c>
      <c r="C17" s="9"/>
      <c r="D17" s="10"/>
      <c r="F17" s="19"/>
      <c r="G17" s="20"/>
      <c r="H17" s="21"/>
      <c r="I17" s="25"/>
      <c r="J17" s="21"/>
      <c r="K17" s="21"/>
    </row>
    <row r="18" spans="2:11">
      <c r="B18" s="12" t="s">
        <v>23</v>
      </c>
      <c r="C18" s="13"/>
      <c r="D18" s="10"/>
      <c r="F18" s="19"/>
      <c r="G18" s="20"/>
      <c r="H18" s="21"/>
      <c r="I18" s="25"/>
      <c r="J18" s="21"/>
      <c r="K18" s="21"/>
    </row>
    <row r="19" spans="2:11">
      <c r="B19" s="8" t="s">
        <v>20</v>
      </c>
      <c r="C19" s="9"/>
      <c r="D19" s="10"/>
      <c r="F19" s="19"/>
      <c r="G19" s="20"/>
      <c r="H19" s="21"/>
      <c r="I19" s="25"/>
      <c r="J19" s="21"/>
      <c r="K19" s="21"/>
    </row>
    <row r="20" spans="2:11">
      <c r="B20" s="8" t="s">
        <v>12</v>
      </c>
      <c r="C20" s="9"/>
      <c r="D20" s="10"/>
      <c r="F20" s="19"/>
      <c r="G20" s="20"/>
      <c r="H20" s="21"/>
      <c r="I20" s="25"/>
      <c r="J20" s="21"/>
      <c r="K20" s="21"/>
    </row>
    <row r="21" spans="2:11">
      <c r="B21" s="8" t="s">
        <v>49</v>
      </c>
      <c r="C21" s="9"/>
      <c r="D21" s="10"/>
      <c r="F21" s="19"/>
      <c r="G21" s="20"/>
      <c r="H21" s="21"/>
      <c r="I21" s="25"/>
      <c r="J21" s="21"/>
      <c r="K21" s="21"/>
    </row>
    <row r="22" spans="2:11">
      <c r="B22" s="8"/>
      <c r="C22" s="9"/>
      <c r="D22" s="10"/>
      <c r="F22" s="19"/>
      <c r="G22" s="20"/>
      <c r="H22" s="21"/>
      <c r="I22" s="25"/>
      <c r="J22" s="21"/>
      <c r="K22" s="21"/>
    </row>
    <row r="23" spans="2:11">
      <c r="B23" s="8"/>
      <c r="C23" s="9"/>
      <c r="D23" s="10"/>
      <c r="F23" s="19"/>
      <c r="G23" s="20"/>
      <c r="H23" s="21"/>
      <c r="I23" s="25"/>
      <c r="J23" s="21"/>
      <c r="K23" s="21"/>
    </row>
    <row r="24" spans="2:11">
      <c r="B24" s="8"/>
      <c r="C24" s="9"/>
      <c r="D24" s="10"/>
      <c r="F24" s="19"/>
      <c r="G24" s="20"/>
      <c r="H24" s="21"/>
      <c r="I24" s="25"/>
      <c r="J24" s="21"/>
      <c r="K24" s="21"/>
    </row>
    <row r="25" spans="2:11">
      <c r="B25" s="11" t="s">
        <v>53</v>
      </c>
      <c r="C25" s="9">
        <f>SUM(C10:C24)</f>
        <v>0</v>
      </c>
      <c r="D25" s="10">
        <f>SUM(D10:D24)</f>
        <v>0</v>
      </c>
      <c r="F25" s="19"/>
      <c r="G25" s="20"/>
      <c r="H25" s="21"/>
      <c r="I25" s="25"/>
      <c r="J25" s="21"/>
      <c r="K25" s="21"/>
    </row>
    <row r="26" spans="6:11">
      <c r="F26" s="19"/>
      <c r="G26" s="20"/>
      <c r="H26" s="21"/>
      <c r="I26" s="25"/>
      <c r="J26" s="21"/>
      <c r="K26" s="21"/>
    </row>
    <row r="27" ht="18.75" spans="2:11">
      <c r="B27" s="6" t="s">
        <v>54</v>
      </c>
      <c r="C27" s="7" t="s">
        <v>2</v>
      </c>
      <c r="D27" s="7" t="s">
        <v>3</v>
      </c>
      <c r="F27" s="19"/>
      <c r="G27" s="20"/>
      <c r="H27" s="21"/>
      <c r="I27" s="25"/>
      <c r="J27" s="21"/>
      <c r="K27" s="21"/>
    </row>
    <row r="28" spans="2:11">
      <c r="B28" s="8" t="s">
        <v>55</v>
      </c>
      <c r="C28" s="9">
        <f>C7</f>
        <v>0</v>
      </c>
      <c r="D28" s="10">
        <f>D7</f>
        <v>0</v>
      </c>
      <c r="F28" s="19"/>
      <c r="G28" s="20"/>
      <c r="H28" s="21"/>
      <c r="I28" s="25"/>
      <c r="J28" s="21"/>
      <c r="K28" s="21"/>
    </row>
    <row r="29" spans="2:11">
      <c r="B29" s="8" t="s">
        <v>58</v>
      </c>
      <c r="C29" s="9">
        <f>C25</f>
        <v>0</v>
      </c>
      <c r="D29" s="10">
        <f>D25</f>
        <v>0</v>
      </c>
      <c r="F29" s="19"/>
      <c r="G29" s="20"/>
      <c r="H29" s="21"/>
      <c r="I29" s="25"/>
      <c r="J29" s="21"/>
      <c r="K29" s="21"/>
    </row>
    <row r="30" spans="2:11">
      <c r="B30" s="14" t="s">
        <v>61</v>
      </c>
      <c r="C30" s="9">
        <f>C28-C29</f>
        <v>0</v>
      </c>
      <c r="D30" s="10">
        <f>D28-D29</f>
        <v>0</v>
      </c>
      <c r="F30" s="19"/>
      <c r="G30" s="20"/>
      <c r="H30" s="21"/>
      <c r="I30" s="25"/>
      <c r="J30" s="21"/>
      <c r="K30" s="21"/>
    </row>
    <row r="31" spans="6:11">
      <c r="F31" s="22"/>
      <c r="G31" s="23"/>
      <c r="H31" s="24"/>
      <c r="I31" s="26"/>
      <c r="K31" s="24"/>
    </row>
    <row r="32" spans="6:11">
      <c r="F32" s="19"/>
      <c r="G32" s="20"/>
      <c r="H32" s="21"/>
      <c r="I32" s="25"/>
      <c r="J32" s="21"/>
      <c r="K32" s="21"/>
    </row>
    <row r="33" spans="6:11">
      <c r="F33" s="19"/>
      <c r="G33" s="20"/>
      <c r="H33" s="21"/>
      <c r="I33" s="25"/>
      <c r="J33" s="21"/>
      <c r="K33" s="21"/>
    </row>
    <row r="34" spans="6:11">
      <c r="F34" s="19"/>
      <c r="G34" s="20"/>
      <c r="H34" s="21"/>
      <c r="I34" s="25"/>
      <c r="J34" s="21"/>
      <c r="K34" s="21"/>
    </row>
    <row r="35" spans="6:11">
      <c r="F35" s="19"/>
      <c r="G35" s="20"/>
      <c r="H35" s="21"/>
      <c r="I35" s="25"/>
      <c r="J35" s="21"/>
      <c r="K35" s="21"/>
    </row>
    <row r="36" spans="6:11">
      <c r="F36" s="19"/>
      <c r="G36" s="20"/>
      <c r="H36" s="21"/>
      <c r="I36" s="25"/>
      <c r="J36" s="21"/>
      <c r="K36" s="21"/>
    </row>
    <row r="37" spans="6:11">
      <c r="F37" s="19"/>
      <c r="G37" s="20"/>
      <c r="H37" s="21"/>
      <c r="I37" s="25"/>
      <c r="J37" s="21"/>
      <c r="K37" s="21"/>
    </row>
    <row r="38" spans="6:11">
      <c r="F38" s="19"/>
      <c r="G38" s="20"/>
      <c r="H38" s="21"/>
      <c r="I38" s="21"/>
      <c r="J38" s="21"/>
      <c r="K38" s="21"/>
    </row>
    <row r="39" spans="6:11">
      <c r="F39" s="19"/>
      <c r="G39" s="20"/>
      <c r="H39" s="21"/>
      <c r="I39" s="21"/>
      <c r="J39" s="21"/>
      <c r="K39" s="21"/>
    </row>
    <row r="40" spans="6:11">
      <c r="F40" s="19"/>
      <c r="G40" s="20"/>
      <c r="H40" s="21"/>
      <c r="I40" s="21"/>
      <c r="J40" s="21"/>
      <c r="K40" s="21"/>
    </row>
    <row r="41" spans="6:11">
      <c r="F41" s="19"/>
      <c r="G41" s="20"/>
      <c r="H41" s="21"/>
      <c r="I41" s="21"/>
      <c r="J41" s="21"/>
      <c r="K41" s="21"/>
    </row>
    <row r="42" spans="6:11">
      <c r="F42" s="19"/>
      <c r="G42" s="20"/>
      <c r="H42" s="21"/>
      <c r="I42" s="21"/>
      <c r="J42" s="21"/>
      <c r="K42" s="21"/>
    </row>
    <row r="43" spans="6:11">
      <c r="F43" s="19"/>
      <c r="G43" s="20"/>
      <c r="H43" s="21"/>
      <c r="I43" s="21"/>
      <c r="J43" s="21"/>
      <c r="K43" s="21"/>
    </row>
    <row r="44" spans="6:11">
      <c r="F44" s="19"/>
      <c r="G44" s="20"/>
      <c r="H44" s="21"/>
      <c r="I44" s="21"/>
      <c r="J44" s="21"/>
      <c r="K44" s="21"/>
    </row>
    <row r="45" spans="6:11">
      <c r="F45" s="19"/>
      <c r="G45" s="20"/>
      <c r="H45" s="21"/>
      <c r="I45" s="21"/>
      <c r="J45" s="21"/>
      <c r="K45" s="21"/>
    </row>
  </sheetData>
  <mergeCells count="1">
    <mergeCell ref="F4:K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January</vt:lpstr>
      <vt:lpstr>February</vt:lpstr>
      <vt:lpstr>How Did I Do</vt:lpstr>
      <vt:lpstr>Your Budget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absar</cp:lastModifiedBy>
  <dcterms:created xsi:type="dcterms:W3CDTF">2023-04-03T10:50:00Z</dcterms:created>
  <dcterms:modified xsi:type="dcterms:W3CDTF">2025-09-13T15:02:50Z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2025-05-28T18:54:12Z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42804ae1-d2e9-40b7-a4a3-45811234298b</vt:lpwstr>
  </property>
  <property fmtid="{D5CDD505-2E9C-101B-9397-08002B2CF9AE}" pid="7" name="MSIP_Label_defa4170-0d19-0005-0004-bc88714345d2_ActionId">
    <vt:lpwstr>5e1b610c-d838-450c-8ae6-0f611b50639c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  <property fmtid="{D5CDD505-2E9C-101B-9397-08002B2CF9AE}" pid="10" name="ICV">
    <vt:lpwstr>728ECEDCB07D971465B9C5688FBCB687_42</vt:lpwstr>
  </property>
  <property fmtid="{D5CDD505-2E9C-101B-9397-08002B2CF9AE}" pid="11" name="KSOProductBuildVer">
    <vt:lpwstr>1033-11.1.0.11719</vt:lpwstr>
  </property>
</Properties>
</file>