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goodwill/Documents/Work/MATH 108X/Formative Assignments/"/>
    </mc:Choice>
  </mc:AlternateContent>
  <xr:revisionPtr revIDLastSave="0" documentId="13_ncr:1_{6F43A2E9-F563-A54C-977D-A618341FFDBD}" xr6:coauthVersionLast="47" xr6:coauthVersionMax="47" xr10:uidLastSave="{00000000-0000-0000-0000-000000000000}"/>
  <bookViews>
    <workbookView xWindow="4000" yWindow="500" windowWidth="26760" windowHeight="17300" xr2:uid="{3DBD2E2A-AF70-0E4D-B638-F4C9CD34B37E}"/>
  </bookViews>
  <sheets>
    <sheet name="Business Loa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8" i="1" l="1"/>
  <c r="D98" i="1" s="1"/>
  <c r="E98" i="1" s="1"/>
  <c r="F98" i="1" s="1"/>
  <c r="C17" i="1"/>
  <c r="D17" i="1" s="1"/>
  <c r="E17" i="1" s="1"/>
  <c r="F17" i="1" s="1"/>
  <c r="C18" i="1" s="1"/>
  <c r="D16" i="1"/>
  <c r="E16" i="1"/>
  <c r="F16" i="1"/>
  <c r="C16" i="1"/>
  <c r="F15" i="1"/>
  <c r="E15" i="1"/>
  <c r="D15" i="1"/>
  <c r="C15" i="1"/>
  <c r="C10" i="1"/>
  <c r="C9" i="1"/>
  <c r="C11" i="1" s="1"/>
  <c r="C8" i="1"/>
  <c r="C6" i="1"/>
  <c r="D18" i="1" l="1"/>
  <c r="E18" i="1" s="1"/>
  <c r="F18" i="1"/>
  <c r="C19" i="1" s="1"/>
  <c r="D19" i="1" l="1"/>
  <c r="E19" i="1" s="1"/>
  <c r="F19" i="1"/>
  <c r="C20" i="1" s="1"/>
  <c r="D20" i="1" l="1"/>
  <c r="E20" i="1" s="1"/>
  <c r="F20" i="1" s="1"/>
  <c r="C21" i="1" s="1"/>
  <c r="D21" i="1" l="1"/>
  <c r="E21" i="1" s="1"/>
  <c r="F21" i="1"/>
  <c r="C22" i="1" s="1"/>
  <c r="D22" i="1" l="1"/>
  <c r="E22" i="1" s="1"/>
  <c r="F22" i="1"/>
  <c r="C23" i="1" s="1"/>
  <c r="D23" i="1" l="1"/>
  <c r="E23" i="1" s="1"/>
  <c r="F23" i="1" s="1"/>
  <c r="C24" i="1" s="1"/>
  <c r="D24" i="1" l="1"/>
  <c r="E24" i="1" s="1"/>
  <c r="F24" i="1" s="1"/>
  <c r="C25" i="1" s="1"/>
  <c r="D25" i="1" l="1"/>
  <c r="E25" i="1" s="1"/>
  <c r="F25" i="1" s="1"/>
  <c r="C26" i="1" s="1"/>
  <c r="D26" i="1" l="1"/>
  <c r="E26" i="1" s="1"/>
  <c r="F26" i="1" s="1"/>
  <c r="C27" i="1" s="1"/>
  <c r="D27" i="1" l="1"/>
  <c r="E27" i="1" s="1"/>
  <c r="F27" i="1" s="1"/>
  <c r="C28" i="1" s="1"/>
  <c r="D28" i="1" l="1"/>
  <c r="E28" i="1" s="1"/>
  <c r="F28" i="1" s="1"/>
  <c r="C29" i="1" s="1"/>
  <c r="D29" i="1" l="1"/>
  <c r="E29" i="1" s="1"/>
  <c r="F29" i="1" s="1"/>
  <c r="C30" i="1" s="1"/>
  <c r="D30" i="1" l="1"/>
  <c r="E30" i="1" s="1"/>
  <c r="F30" i="1"/>
  <c r="C31" i="1" s="1"/>
  <c r="D31" i="1" l="1"/>
  <c r="E31" i="1" s="1"/>
  <c r="F31" i="1" s="1"/>
  <c r="C32" i="1" s="1"/>
  <c r="D32" i="1" l="1"/>
  <c r="E32" i="1" s="1"/>
  <c r="F32" i="1"/>
  <c r="C33" i="1" s="1"/>
  <c r="D33" i="1" l="1"/>
  <c r="E33" i="1" s="1"/>
  <c r="F33" i="1" s="1"/>
  <c r="C34" i="1" s="1"/>
  <c r="D34" i="1" l="1"/>
  <c r="E34" i="1" s="1"/>
  <c r="F34" i="1" s="1"/>
  <c r="C35" i="1" s="1"/>
  <c r="D35" i="1" l="1"/>
  <c r="E35" i="1" s="1"/>
  <c r="F35" i="1"/>
  <c r="C36" i="1" s="1"/>
  <c r="D36" i="1" l="1"/>
  <c r="E36" i="1" s="1"/>
  <c r="F36" i="1"/>
  <c r="C37" i="1" s="1"/>
  <c r="D37" i="1" l="1"/>
  <c r="E37" i="1" s="1"/>
  <c r="F37" i="1" s="1"/>
  <c r="C38" i="1" s="1"/>
  <c r="D38" i="1" l="1"/>
  <c r="E38" i="1" s="1"/>
  <c r="F38" i="1" s="1"/>
  <c r="C39" i="1" s="1"/>
  <c r="D39" i="1" l="1"/>
  <c r="E39" i="1" s="1"/>
  <c r="F39" i="1"/>
  <c r="C40" i="1" s="1"/>
  <c r="D40" i="1" l="1"/>
  <c r="E40" i="1" s="1"/>
  <c r="F40" i="1"/>
  <c r="C41" i="1" s="1"/>
  <c r="D41" i="1" l="1"/>
  <c r="E41" i="1" s="1"/>
  <c r="F41" i="1" s="1"/>
  <c r="C42" i="1" s="1"/>
  <c r="D42" i="1" l="1"/>
  <c r="E42" i="1" s="1"/>
  <c r="F42" i="1" s="1"/>
  <c r="C43" i="1" s="1"/>
  <c r="D43" i="1" l="1"/>
  <c r="E43" i="1" s="1"/>
  <c r="F43" i="1"/>
  <c r="C44" i="1" s="1"/>
  <c r="D44" i="1" l="1"/>
  <c r="E44" i="1" s="1"/>
  <c r="F44" i="1"/>
  <c r="C45" i="1" s="1"/>
  <c r="D45" i="1" l="1"/>
  <c r="E45" i="1" s="1"/>
  <c r="F45" i="1" s="1"/>
  <c r="C46" i="1" s="1"/>
  <c r="D46" i="1" l="1"/>
  <c r="E46" i="1" s="1"/>
  <c r="F46" i="1"/>
  <c r="C47" i="1" s="1"/>
  <c r="D47" i="1" l="1"/>
  <c r="E47" i="1" s="1"/>
  <c r="F47" i="1"/>
  <c r="C48" i="1" s="1"/>
  <c r="D48" i="1" l="1"/>
  <c r="E48" i="1" s="1"/>
  <c r="F48" i="1"/>
  <c r="C49" i="1" s="1"/>
  <c r="D49" i="1" l="1"/>
  <c r="E49" i="1" s="1"/>
  <c r="F49" i="1" s="1"/>
  <c r="C50" i="1" s="1"/>
  <c r="D50" i="1" l="1"/>
  <c r="E50" i="1" s="1"/>
  <c r="F50" i="1" s="1"/>
  <c r="C51" i="1" s="1"/>
  <c r="D51" i="1" l="1"/>
  <c r="E51" i="1" s="1"/>
  <c r="F51" i="1" s="1"/>
  <c r="C52" i="1" s="1"/>
  <c r="D52" i="1" l="1"/>
  <c r="E52" i="1" s="1"/>
  <c r="F52" i="1"/>
  <c r="C53" i="1" s="1"/>
  <c r="D53" i="1" l="1"/>
  <c r="E53" i="1" s="1"/>
  <c r="F53" i="1" s="1"/>
  <c r="C54" i="1" s="1"/>
  <c r="D54" i="1" l="1"/>
  <c r="E54" i="1" s="1"/>
  <c r="F54" i="1" s="1"/>
  <c r="C55" i="1" s="1"/>
  <c r="D55" i="1" l="1"/>
  <c r="E55" i="1" s="1"/>
  <c r="F55" i="1"/>
  <c r="C56" i="1" s="1"/>
  <c r="D56" i="1" l="1"/>
  <c r="E56" i="1" s="1"/>
  <c r="F56" i="1"/>
  <c r="C57" i="1" s="1"/>
  <c r="D57" i="1" l="1"/>
  <c r="E57" i="1" s="1"/>
  <c r="F57" i="1" s="1"/>
  <c r="C58" i="1" s="1"/>
  <c r="D58" i="1" l="1"/>
  <c r="E58" i="1" s="1"/>
  <c r="F58" i="1"/>
  <c r="C59" i="1" s="1"/>
  <c r="D59" i="1" l="1"/>
  <c r="E59" i="1" s="1"/>
  <c r="F59" i="1"/>
  <c r="C60" i="1" s="1"/>
  <c r="D60" i="1" l="1"/>
  <c r="E60" i="1" s="1"/>
  <c r="F60" i="1"/>
  <c r="C61" i="1" s="1"/>
  <c r="D61" i="1" l="1"/>
  <c r="E61" i="1" s="1"/>
  <c r="F61" i="1" s="1"/>
  <c r="C62" i="1" s="1"/>
  <c r="D62" i="1" l="1"/>
  <c r="E62" i="1" s="1"/>
  <c r="F62" i="1" s="1"/>
  <c r="C63" i="1" s="1"/>
  <c r="D63" i="1" l="1"/>
  <c r="E63" i="1" s="1"/>
  <c r="F63" i="1"/>
  <c r="C64" i="1" s="1"/>
  <c r="D64" i="1" l="1"/>
  <c r="E64" i="1" s="1"/>
  <c r="F64" i="1"/>
  <c r="C65" i="1" s="1"/>
  <c r="D65" i="1" l="1"/>
  <c r="E65" i="1" s="1"/>
  <c r="F65" i="1" s="1"/>
  <c r="C66" i="1" s="1"/>
  <c r="D66" i="1" l="1"/>
  <c r="E66" i="1" s="1"/>
  <c r="F66" i="1" s="1"/>
  <c r="C67" i="1" s="1"/>
  <c r="D67" i="1" l="1"/>
  <c r="E67" i="1" s="1"/>
  <c r="F67" i="1"/>
  <c r="C68" i="1" s="1"/>
  <c r="D68" i="1" l="1"/>
  <c r="E68" i="1" s="1"/>
  <c r="F68" i="1" s="1"/>
  <c r="C69" i="1" s="1"/>
  <c r="D69" i="1" l="1"/>
  <c r="E69" i="1" s="1"/>
  <c r="F69" i="1"/>
  <c r="C70" i="1" s="1"/>
  <c r="D70" i="1" l="1"/>
  <c r="E70" i="1" s="1"/>
  <c r="F70" i="1"/>
  <c r="C71" i="1" s="1"/>
  <c r="D71" i="1" l="1"/>
  <c r="E71" i="1" s="1"/>
  <c r="F71" i="1" s="1"/>
  <c r="C72" i="1" s="1"/>
  <c r="D72" i="1" l="1"/>
  <c r="E72" i="1" s="1"/>
  <c r="F72" i="1" s="1"/>
  <c r="C73" i="1" s="1"/>
  <c r="D73" i="1" l="1"/>
  <c r="E73" i="1" s="1"/>
  <c r="F73" i="1" s="1"/>
  <c r="C74" i="1" s="1"/>
  <c r="D74" i="1" l="1"/>
  <c r="E74" i="1" s="1"/>
  <c r="F74" i="1"/>
  <c r="C75" i="1" s="1"/>
  <c r="D75" i="1" l="1"/>
  <c r="E75" i="1" s="1"/>
  <c r="F75" i="1"/>
  <c r="C76" i="1" s="1"/>
  <c r="D76" i="1" l="1"/>
  <c r="E76" i="1" s="1"/>
  <c r="F76" i="1" s="1"/>
  <c r="C77" i="1" s="1"/>
  <c r="D77" i="1" l="1"/>
  <c r="E77" i="1" s="1"/>
  <c r="F77" i="1" s="1"/>
  <c r="C78" i="1" s="1"/>
  <c r="D78" i="1" l="1"/>
  <c r="E78" i="1" s="1"/>
  <c r="F78" i="1" s="1"/>
  <c r="C79" i="1" s="1"/>
  <c r="D79" i="1" l="1"/>
  <c r="E79" i="1" s="1"/>
  <c r="F79" i="1" s="1"/>
  <c r="C80" i="1" s="1"/>
  <c r="D80" i="1" l="1"/>
  <c r="E80" i="1" s="1"/>
  <c r="F80" i="1" s="1"/>
  <c r="C81" i="1" s="1"/>
  <c r="D81" i="1" l="1"/>
  <c r="E81" i="1" s="1"/>
  <c r="F81" i="1" s="1"/>
  <c r="C82" i="1" s="1"/>
  <c r="D82" i="1" l="1"/>
  <c r="E82" i="1" s="1"/>
  <c r="F82" i="1" s="1"/>
  <c r="C83" i="1" s="1"/>
  <c r="D83" i="1" l="1"/>
  <c r="E83" i="1" s="1"/>
  <c r="F83" i="1" s="1"/>
  <c r="C84" i="1" s="1"/>
  <c r="D84" i="1" l="1"/>
  <c r="E84" i="1" s="1"/>
  <c r="F84" i="1"/>
  <c r="C85" i="1" s="1"/>
  <c r="D85" i="1" l="1"/>
  <c r="E85" i="1" s="1"/>
  <c r="F85" i="1"/>
  <c r="C86" i="1" s="1"/>
  <c r="D86" i="1" l="1"/>
  <c r="E86" i="1" s="1"/>
  <c r="F86" i="1" s="1"/>
  <c r="C87" i="1" s="1"/>
  <c r="D87" i="1" l="1"/>
  <c r="E87" i="1" s="1"/>
  <c r="F87" i="1" s="1"/>
  <c r="C88" i="1" s="1"/>
  <c r="D88" i="1" l="1"/>
  <c r="E88" i="1" s="1"/>
  <c r="F88" i="1"/>
  <c r="C89" i="1" s="1"/>
  <c r="D89" i="1" l="1"/>
  <c r="E89" i="1" s="1"/>
  <c r="F89" i="1"/>
  <c r="C90" i="1" s="1"/>
  <c r="D90" i="1" l="1"/>
  <c r="E90" i="1" s="1"/>
  <c r="F90" i="1" s="1"/>
  <c r="C91" i="1" s="1"/>
  <c r="D91" i="1" l="1"/>
  <c r="E91" i="1" s="1"/>
  <c r="F91" i="1"/>
  <c r="C92" i="1" s="1"/>
  <c r="D92" i="1" l="1"/>
  <c r="E92" i="1" s="1"/>
  <c r="F92" i="1" s="1"/>
  <c r="C93" i="1" s="1"/>
  <c r="D93" i="1" l="1"/>
  <c r="E93" i="1" s="1"/>
  <c r="F93" i="1"/>
  <c r="C94" i="1" s="1"/>
  <c r="D94" i="1" l="1"/>
  <c r="E94" i="1" s="1"/>
  <c r="F94" i="1" s="1"/>
  <c r="C95" i="1" s="1"/>
  <c r="D95" i="1" l="1"/>
  <c r="E95" i="1" s="1"/>
  <c r="F95" i="1" s="1"/>
  <c r="C96" i="1" s="1"/>
  <c r="D96" i="1" l="1"/>
  <c r="E96" i="1" s="1"/>
  <c r="F96" i="1" s="1"/>
  <c r="C97" i="1" s="1"/>
  <c r="D97" i="1" l="1"/>
  <c r="E97" i="1" s="1"/>
  <c r="F97" i="1"/>
</calcChain>
</file>

<file path=xl/sharedStrings.xml><?xml version="1.0" encoding="utf-8"?>
<sst xmlns="http://schemas.openxmlformats.org/spreadsheetml/2006/main" count="16" uniqueCount="16">
  <si>
    <t>Loan Amount</t>
  </si>
  <si>
    <t>Monthly Payment</t>
  </si>
  <si>
    <t>Total Payments</t>
  </si>
  <si>
    <t>Total Interest</t>
  </si>
  <si>
    <t>Amortization Schedule</t>
  </si>
  <si>
    <t>Month</t>
  </si>
  <si>
    <t>Beginning Balance</t>
  </si>
  <si>
    <t>To Interest</t>
  </si>
  <si>
    <t>To Principal</t>
  </si>
  <si>
    <t>Ending Balance</t>
  </si>
  <si>
    <t>Loan Interest Rate</t>
  </si>
  <si>
    <t>Kenji's Loan</t>
  </si>
  <si>
    <t>Amount</t>
  </si>
  <si>
    <t>Checkpoint: Loan</t>
  </si>
  <si>
    <t>Loan Item</t>
  </si>
  <si>
    <t>Loan Term (months):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</si>
</sst>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164" formatCode="_([$GHS]\ * #,##0.00_);_([$GHS]\ * \(#,##0.00\);_([$GHS]\ * &quot;-&quot;??_);_(@_)"/>
    <numFmt numFmtId="165" formatCode="m/d;@"/>
    <numFmt numFmtId="166" formatCode="_([$LKR]\ * #,##0.00_);_([$LKR]\ * \(#,##0.00\);_([$LKR]\ * &quot;-&quot;??_);_(@_)"/>
  </numFmts>
  <fonts count="4" x14ac:knownFonts="1">
    <font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DF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21">
    <xf numFmtId="0" fontId="0" fillId="0" borderId="0" xfId="0"/>
    <xf numFmtId="0" fontId="1" fillId="0" borderId="0" xfId="0" applyFont="1" applyAlignment="1">
      <alignment horizontal="left"/>
    </xf>
    <xf numFmtId="0" fontId="0" fillId="0" borderId="1" xfId="0" applyBorder="1" applyAlignment="1">
      <alignment wrapText="1"/>
    </xf>
    <xf numFmtId="165" fontId="0" fillId="0" borderId="0" xfId="0" applyNumberFormat="1" applyAlignment="1">
      <alignment horizontal="center"/>
    </xf>
    <xf numFmtId="0" fontId="0" fillId="0" borderId="0" xfId="1" applyNumberFormat="1" applyFont="1" applyBorder="1"/>
    <xf numFmtId="0" fontId="0" fillId="0" borderId="0" xfId="0" applyAlignment="1">
      <alignment horizontal="right"/>
    </xf>
    <xf numFmtId="164" fontId="0" fillId="0" borderId="0" xfId="1" applyNumberFormat="1" applyFont="1" applyFill="1" applyBorder="1"/>
    <xf numFmtId="0" fontId="0" fillId="0" borderId="1" xfId="0" applyBorder="1" applyAlignment="1">
      <alignment horizontal="center"/>
    </xf>
    <xf numFmtId="166" fontId="0" fillId="2" borderId="1" xfId="1" applyNumberFormat="1" applyFont="1" applyFill="1" applyBorder="1"/>
    <xf numFmtId="0" fontId="0" fillId="2" borderId="1" xfId="0" applyFill="1" applyBorder="1" applyAlignment="1">
      <alignment horizontal="center"/>
    </xf>
    <xf numFmtId="0" fontId="0" fillId="0" borderId="0" xfId="0" applyAlignment="1">
      <alignment wrapText="1"/>
    </xf>
    <xf numFmtId="166" fontId="0" fillId="0" borderId="0" xfId="1" applyNumberFormat="1" applyFont="1" applyFill="1" applyBorder="1"/>
    <xf numFmtId="9" fontId="0" fillId="0" borderId="0" xfId="2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1" applyNumberFormat="1" applyFont="1" applyFill="1" applyBorder="1"/>
    <xf numFmtId="164" fontId="0" fillId="0" borderId="0" xfId="0" applyNumberFormat="1"/>
    <xf numFmtId="0" fontId="2" fillId="0" borderId="0" xfId="0" applyFont="1" applyAlignment="1">
      <alignment wrapText="1"/>
    </xf>
    <xf numFmtId="9" fontId="0" fillId="2" borderId="1" xfId="2" applyFont="1" applyFill="1" applyBorder="1" applyAlignment="1">
      <alignment horizontal="center"/>
    </xf>
    <xf numFmtId="0" fontId="2" fillId="0" borderId="0" xfId="0" applyFont="1" applyAlignment="1">
      <alignment horizontal="left" wrapText="1"/>
    </xf>
    <xf numFmtId="166" fontId="0" fillId="3" borderId="1" xfId="1" applyNumberFormat="1" applyFont="1" applyFill="1" applyBorder="1"/>
    <xf numFmtId="166" fontId="0" fillId="3" borderId="1" xfId="0" applyNumberFormat="1" applyFill="1" applyBorder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colors>
    <mruColors>
      <color rgb="FFFFC2C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A3605F-460C-EC4A-A569-A187B9C33571}">
  <dimension ref="B2:L98"/>
  <sheetViews>
    <sheetView tabSelected="1" workbookViewId="0">
      <selection activeCell="B2" sqref="B2"/>
    </sheetView>
  </sheetViews>
  <sheetFormatPr baseColWidth="10" defaultRowHeight="16" x14ac:dyDescent="0.2"/>
  <cols>
    <col min="1" max="1" width="2.83203125" customWidth="1"/>
    <col min="2" max="2" width="25.33203125" customWidth="1"/>
    <col min="3" max="6" width="20.83203125" customWidth="1"/>
    <col min="8" max="9" width="10.83203125" customWidth="1"/>
    <col min="12" max="12" width="14.5" customWidth="1"/>
  </cols>
  <sheetData>
    <row r="2" spans="2:12" ht="24" x14ac:dyDescent="0.3">
      <c r="B2" s="1" t="s">
        <v>13</v>
      </c>
    </row>
    <row r="4" spans="2:12" ht="19" x14ac:dyDescent="0.25">
      <c r="B4" s="18" t="s">
        <v>11</v>
      </c>
      <c r="C4" s="18"/>
    </row>
    <row r="5" spans="2:12" ht="19" customHeight="1" x14ac:dyDescent="0.25">
      <c r="B5" s="7" t="s">
        <v>14</v>
      </c>
      <c r="C5" s="7" t="s">
        <v>12</v>
      </c>
      <c r="H5" s="16"/>
      <c r="I5" s="16"/>
    </row>
    <row r="6" spans="2:12" ht="17" x14ac:dyDescent="0.2">
      <c r="B6" s="2" t="s">
        <v>0</v>
      </c>
      <c r="C6" s="8">
        <f>425000-150000</f>
        <v>275000</v>
      </c>
      <c r="H6" s="10"/>
      <c r="I6" s="11"/>
    </row>
    <row r="7" spans="2:12" ht="17" x14ac:dyDescent="0.2">
      <c r="B7" s="2" t="s">
        <v>10</v>
      </c>
      <c r="C7" s="17">
        <v>0.15</v>
      </c>
      <c r="H7" s="10"/>
      <c r="I7" s="12"/>
    </row>
    <row r="8" spans="2:12" ht="17" customHeight="1" x14ac:dyDescent="0.2">
      <c r="B8" s="2" t="s">
        <v>15</v>
      </c>
      <c r="C8" s="9">
        <f>7*12</f>
        <v>84</v>
      </c>
      <c r="H8" s="10"/>
      <c r="I8" s="13"/>
    </row>
    <row r="9" spans="2:12" ht="17" customHeight="1" x14ac:dyDescent="0.2">
      <c r="B9" s="2" t="s">
        <v>1</v>
      </c>
      <c r="C9" s="8">
        <f>PMT(C7/12,C8,-C6)</f>
        <v>5306.6075522299125</v>
      </c>
      <c r="H9" s="10"/>
      <c r="I9" s="11"/>
    </row>
    <row r="10" spans="2:12" ht="17" x14ac:dyDescent="0.2">
      <c r="B10" s="2" t="s">
        <v>2</v>
      </c>
      <c r="C10" s="8">
        <f>C9*C8</f>
        <v>445755.03438731265</v>
      </c>
      <c r="F10" s="3"/>
      <c r="H10" s="10"/>
      <c r="I10" s="11"/>
      <c r="L10" s="3"/>
    </row>
    <row r="11" spans="2:12" ht="17" x14ac:dyDescent="0.2">
      <c r="B11" s="2" t="s">
        <v>3</v>
      </c>
      <c r="C11" s="8">
        <f>C10-C6</f>
        <v>170755.03438731265</v>
      </c>
      <c r="H11" s="10"/>
      <c r="I11" s="11"/>
    </row>
    <row r="12" spans="2:12" x14ac:dyDescent="0.2">
      <c r="C12" s="4"/>
      <c r="I12" s="14"/>
    </row>
    <row r="13" spans="2:12" ht="19" customHeight="1" x14ac:dyDescent="0.25">
      <c r="B13" s="18" t="s">
        <v>4</v>
      </c>
      <c r="C13" s="18"/>
      <c r="D13" s="5"/>
      <c r="E13" s="6"/>
      <c r="H13" s="16"/>
      <c r="I13" s="16"/>
      <c r="J13" s="5"/>
      <c r="K13" s="6"/>
    </row>
    <row r="14" spans="2:12" x14ac:dyDescent="0.2">
      <c r="B14" s="7" t="s">
        <v>5</v>
      </c>
      <c r="C14" s="7" t="s">
        <v>6</v>
      </c>
      <c r="D14" s="7" t="s">
        <v>7</v>
      </c>
      <c r="E14" s="7" t="s">
        <v>8</v>
      </c>
      <c r="F14" s="7" t="s">
        <v>9</v>
      </c>
      <c r="H14" s="13"/>
      <c r="I14" s="13"/>
      <c r="J14" s="13"/>
      <c r="K14" s="13"/>
      <c r="L14" s="13"/>
    </row>
    <row r="15" spans="2:12" x14ac:dyDescent="0.2">
      <c r="B15" s="7">
        <v>1</v>
      </c>
      <c r="C15" s="19">
        <f>C6</f>
        <v>275000</v>
      </c>
      <c r="D15" s="19">
        <f>C15*$C$7/12</f>
        <v>3437.5</v>
      </c>
      <c r="E15" s="19">
        <f>$C$9-D15</f>
        <v>1869.1075522299125</v>
      </c>
      <c r="F15" s="19">
        <f>C15-E15</f>
        <v>273130.89244777011</v>
      </c>
      <c r="H15" s="13"/>
      <c r="I15" s="6"/>
      <c r="J15" s="6"/>
      <c r="K15" s="6"/>
      <c r="L15" s="6"/>
    </row>
    <row r="16" spans="2:12" x14ac:dyDescent="0.2">
      <c r="B16" s="7">
        <v>2</v>
      </c>
      <c r="C16" s="20">
        <f>F15</f>
        <v>273130.89244777011</v>
      </c>
      <c r="D16" s="19">
        <f>C16*$C$7/12</f>
        <v>3414.1361555971266</v>
      </c>
      <c r="E16" s="19">
        <f>$C$9-D16</f>
        <v>1892.4713966327859</v>
      </c>
      <c r="F16" s="19">
        <f>C16-E16</f>
        <v>271238.42105113732</v>
      </c>
      <c r="H16" s="13"/>
      <c r="I16" s="15"/>
      <c r="J16" s="6"/>
      <c r="K16" s="6"/>
      <c r="L16" s="6"/>
    </row>
    <row r="17" spans="2:12" x14ac:dyDescent="0.2">
      <c r="B17" s="7">
        <v>3</v>
      </c>
      <c r="C17" s="20">
        <f t="shared" ref="C17:C80" si="0">F16</f>
        <v>271238.42105113732</v>
      </c>
      <c r="D17" s="19">
        <f t="shared" ref="D17:D80" si="1">C17*$C$7/12</f>
        <v>3390.4802631392163</v>
      </c>
      <c r="E17" s="19">
        <f t="shared" ref="E17:E80" si="2">$C$9-D17</f>
        <v>1916.1272890906962</v>
      </c>
      <c r="F17" s="19">
        <f t="shared" ref="F17:F80" si="3">C17-E17</f>
        <v>269322.29376204661</v>
      </c>
      <c r="H17" s="13"/>
      <c r="I17" s="15"/>
      <c r="J17" s="6"/>
      <c r="K17" s="6"/>
      <c r="L17" s="6"/>
    </row>
    <row r="18" spans="2:12" x14ac:dyDescent="0.2">
      <c r="B18" s="7">
        <v>4</v>
      </c>
      <c r="C18" s="20">
        <f t="shared" si="0"/>
        <v>269322.29376204661</v>
      </c>
      <c r="D18" s="19">
        <f t="shared" si="1"/>
        <v>3366.5286720255826</v>
      </c>
      <c r="E18" s="19">
        <f t="shared" si="2"/>
        <v>1940.0788802043298</v>
      </c>
      <c r="F18" s="19">
        <f t="shared" si="3"/>
        <v>267382.21488184226</v>
      </c>
      <c r="H18" s="13"/>
      <c r="I18" s="15"/>
      <c r="J18" s="6"/>
      <c r="K18" s="6"/>
      <c r="L18" s="6"/>
    </row>
    <row r="19" spans="2:12" x14ac:dyDescent="0.2">
      <c r="B19" s="7">
        <v>5</v>
      </c>
      <c r="C19" s="20">
        <f t="shared" si="0"/>
        <v>267382.21488184226</v>
      </c>
      <c r="D19" s="19">
        <f t="shared" si="1"/>
        <v>3342.2776860230279</v>
      </c>
      <c r="E19" s="19">
        <f t="shared" si="2"/>
        <v>1964.3298662068846</v>
      </c>
      <c r="F19" s="19">
        <f t="shared" si="3"/>
        <v>265417.8850156354</v>
      </c>
      <c r="H19" s="13"/>
      <c r="I19" s="15"/>
      <c r="J19" s="6"/>
      <c r="K19" s="6"/>
      <c r="L19" s="6"/>
    </row>
    <row r="20" spans="2:12" x14ac:dyDescent="0.2">
      <c r="B20" s="7">
        <v>6</v>
      </c>
      <c r="C20" s="20">
        <f t="shared" si="0"/>
        <v>265417.8850156354</v>
      </c>
      <c r="D20" s="19">
        <f t="shared" si="1"/>
        <v>3317.7235626954425</v>
      </c>
      <c r="E20" s="19">
        <f t="shared" si="2"/>
        <v>1988.8839895344699</v>
      </c>
      <c r="F20" s="19">
        <f t="shared" si="3"/>
        <v>263429.00102610094</v>
      </c>
    </row>
    <row r="21" spans="2:12" x14ac:dyDescent="0.2">
      <c r="B21" s="7">
        <v>7</v>
      </c>
      <c r="C21" s="20">
        <f t="shared" si="0"/>
        <v>263429.00102610094</v>
      </c>
      <c r="D21" s="19">
        <f t="shared" si="1"/>
        <v>3292.8625128262615</v>
      </c>
      <c r="E21" s="19">
        <f t="shared" si="2"/>
        <v>2013.7450394036509</v>
      </c>
      <c r="F21" s="19">
        <f t="shared" si="3"/>
        <v>261415.2559866973</v>
      </c>
    </row>
    <row r="22" spans="2:12" x14ac:dyDescent="0.2">
      <c r="B22" s="7">
        <v>8</v>
      </c>
      <c r="C22" s="20">
        <f t="shared" si="0"/>
        <v>261415.2559866973</v>
      </c>
      <c r="D22" s="19">
        <f t="shared" si="1"/>
        <v>3267.6906998337163</v>
      </c>
      <c r="E22" s="19">
        <f t="shared" si="2"/>
        <v>2038.9168523961962</v>
      </c>
      <c r="F22" s="19">
        <f t="shared" si="3"/>
        <v>259376.33913430112</v>
      </c>
    </row>
    <row r="23" spans="2:12" x14ac:dyDescent="0.2">
      <c r="B23" s="7">
        <v>9</v>
      </c>
      <c r="C23" s="20">
        <f t="shared" si="0"/>
        <v>259376.33913430112</v>
      </c>
      <c r="D23" s="19">
        <f t="shared" si="1"/>
        <v>3242.2042391787636</v>
      </c>
      <c r="E23" s="19">
        <f t="shared" si="2"/>
        <v>2064.4033130511489</v>
      </c>
      <c r="F23" s="19">
        <f t="shared" si="3"/>
        <v>257311.93582124996</v>
      </c>
    </row>
    <row r="24" spans="2:12" x14ac:dyDescent="0.2">
      <c r="B24" s="7">
        <v>10</v>
      </c>
      <c r="C24" s="20">
        <f t="shared" si="0"/>
        <v>257311.93582124996</v>
      </c>
      <c r="D24" s="19">
        <f t="shared" si="1"/>
        <v>3216.3991977656242</v>
      </c>
      <c r="E24" s="19">
        <f t="shared" si="2"/>
        <v>2090.2083544642883</v>
      </c>
      <c r="F24" s="19">
        <f t="shared" si="3"/>
        <v>255221.72746678567</v>
      </c>
    </row>
    <row r="25" spans="2:12" x14ac:dyDescent="0.2">
      <c r="B25" s="7">
        <v>11</v>
      </c>
      <c r="C25" s="20">
        <f t="shared" si="0"/>
        <v>255221.72746678567</v>
      </c>
      <c r="D25" s="19">
        <f t="shared" si="1"/>
        <v>3190.2715933348209</v>
      </c>
      <c r="E25" s="19">
        <f t="shared" si="2"/>
        <v>2116.3359588950916</v>
      </c>
      <c r="F25" s="19">
        <f t="shared" si="3"/>
        <v>253105.39150789057</v>
      </c>
    </row>
    <row r="26" spans="2:12" x14ac:dyDescent="0.2">
      <c r="B26" s="7">
        <v>12</v>
      </c>
      <c r="C26" s="20">
        <f t="shared" si="0"/>
        <v>253105.39150789057</v>
      </c>
      <c r="D26" s="19">
        <f t="shared" si="1"/>
        <v>3163.817393848632</v>
      </c>
      <c r="E26" s="19">
        <f t="shared" si="2"/>
        <v>2142.7901583812804</v>
      </c>
      <c r="F26" s="19">
        <f t="shared" si="3"/>
        <v>250962.60134950929</v>
      </c>
    </row>
    <row r="27" spans="2:12" x14ac:dyDescent="0.2">
      <c r="B27" s="7">
        <v>13</v>
      </c>
      <c r="C27" s="20">
        <f t="shared" si="0"/>
        <v>250962.60134950929</v>
      </c>
      <c r="D27" s="19">
        <f t="shared" si="1"/>
        <v>3137.0325168688664</v>
      </c>
      <c r="E27" s="19">
        <f t="shared" si="2"/>
        <v>2169.575035361046</v>
      </c>
      <c r="F27" s="19">
        <f t="shared" si="3"/>
        <v>248793.02631414824</v>
      </c>
    </row>
    <row r="28" spans="2:12" x14ac:dyDescent="0.2">
      <c r="B28" s="7">
        <v>14</v>
      </c>
      <c r="C28" s="20">
        <f t="shared" si="0"/>
        <v>248793.02631414824</v>
      </c>
      <c r="D28" s="19">
        <f t="shared" si="1"/>
        <v>3109.9128289268533</v>
      </c>
      <c r="E28" s="19">
        <f t="shared" si="2"/>
        <v>2196.6947233030592</v>
      </c>
      <c r="F28" s="19">
        <f t="shared" si="3"/>
        <v>246596.33159084519</v>
      </c>
    </row>
    <row r="29" spans="2:12" x14ac:dyDescent="0.2">
      <c r="B29" s="7">
        <v>15</v>
      </c>
      <c r="C29" s="20">
        <f t="shared" si="0"/>
        <v>246596.33159084519</v>
      </c>
      <c r="D29" s="19">
        <f t="shared" si="1"/>
        <v>3082.4541448855648</v>
      </c>
      <c r="E29" s="19">
        <f t="shared" si="2"/>
        <v>2224.1534073443477</v>
      </c>
      <c r="F29" s="19">
        <f t="shared" si="3"/>
        <v>244372.17818350083</v>
      </c>
    </row>
    <row r="30" spans="2:12" x14ac:dyDescent="0.2">
      <c r="B30" s="7">
        <v>16</v>
      </c>
      <c r="C30" s="20">
        <f t="shared" si="0"/>
        <v>244372.17818350083</v>
      </c>
      <c r="D30" s="19">
        <f t="shared" si="1"/>
        <v>3054.65222729376</v>
      </c>
      <c r="E30" s="19">
        <f t="shared" si="2"/>
        <v>2251.9553249361525</v>
      </c>
      <c r="F30" s="19">
        <f t="shared" si="3"/>
        <v>242120.22285856467</v>
      </c>
    </row>
    <row r="31" spans="2:12" x14ac:dyDescent="0.2">
      <c r="B31" s="7">
        <v>17</v>
      </c>
      <c r="C31" s="20">
        <f t="shared" si="0"/>
        <v>242120.22285856467</v>
      </c>
      <c r="D31" s="19">
        <f t="shared" si="1"/>
        <v>3026.5027857320583</v>
      </c>
      <c r="E31" s="19">
        <f t="shared" si="2"/>
        <v>2280.1047664978541</v>
      </c>
      <c r="F31" s="19">
        <f t="shared" si="3"/>
        <v>239840.11809206681</v>
      </c>
    </row>
    <row r="32" spans="2:12" x14ac:dyDescent="0.2">
      <c r="B32" s="7">
        <v>18</v>
      </c>
      <c r="C32" s="20">
        <f t="shared" si="0"/>
        <v>239840.11809206681</v>
      </c>
      <c r="D32" s="19">
        <f t="shared" si="1"/>
        <v>2998.0014761508351</v>
      </c>
      <c r="E32" s="19">
        <f t="shared" si="2"/>
        <v>2308.6060760790774</v>
      </c>
      <c r="F32" s="19">
        <f t="shared" si="3"/>
        <v>237531.51201598774</v>
      </c>
    </row>
    <row r="33" spans="2:6" x14ac:dyDescent="0.2">
      <c r="B33" s="7">
        <v>19</v>
      </c>
      <c r="C33" s="20">
        <f t="shared" si="0"/>
        <v>237531.51201598774</v>
      </c>
      <c r="D33" s="19">
        <f t="shared" si="1"/>
        <v>2969.1439001998465</v>
      </c>
      <c r="E33" s="19">
        <f t="shared" si="2"/>
        <v>2337.463652030066</v>
      </c>
      <c r="F33" s="19">
        <f t="shared" si="3"/>
        <v>235194.04836395767</v>
      </c>
    </row>
    <row r="34" spans="2:6" x14ac:dyDescent="0.2">
      <c r="B34" s="7">
        <v>20</v>
      </c>
      <c r="C34" s="20">
        <f t="shared" si="0"/>
        <v>235194.04836395767</v>
      </c>
      <c r="D34" s="19">
        <f t="shared" si="1"/>
        <v>2939.9256045494708</v>
      </c>
      <c r="E34" s="19">
        <f t="shared" si="2"/>
        <v>2366.6819476804417</v>
      </c>
      <c r="F34" s="19">
        <f t="shared" si="3"/>
        <v>232827.36641627722</v>
      </c>
    </row>
    <row r="35" spans="2:6" x14ac:dyDescent="0.2">
      <c r="B35" s="7">
        <v>21</v>
      </c>
      <c r="C35" s="20">
        <f t="shared" si="0"/>
        <v>232827.36641627722</v>
      </c>
      <c r="D35" s="19">
        <f t="shared" si="1"/>
        <v>2910.3420802034652</v>
      </c>
      <c r="E35" s="19">
        <f t="shared" si="2"/>
        <v>2396.2654720264472</v>
      </c>
      <c r="F35" s="19">
        <f t="shared" si="3"/>
        <v>230431.10094425076</v>
      </c>
    </row>
    <row r="36" spans="2:6" x14ac:dyDescent="0.2">
      <c r="B36" s="7">
        <v>22</v>
      </c>
      <c r="C36" s="20">
        <f t="shared" si="0"/>
        <v>230431.10094425076</v>
      </c>
      <c r="D36" s="19">
        <f t="shared" si="1"/>
        <v>2880.3887618031345</v>
      </c>
      <c r="E36" s="19">
        <f t="shared" si="2"/>
        <v>2426.218790426778</v>
      </c>
      <c r="F36" s="19">
        <f t="shared" si="3"/>
        <v>228004.88215382397</v>
      </c>
    </row>
    <row r="37" spans="2:6" x14ac:dyDescent="0.2">
      <c r="B37" s="7">
        <v>23</v>
      </c>
      <c r="C37" s="20">
        <f t="shared" si="0"/>
        <v>228004.88215382397</v>
      </c>
      <c r="D37" s="19">
        <f t="shared" si="1"/>
        <v>2850.0610269227996</v>
      </c>
      <c r="E37" s="19">
        <f t="shared" si="2"/>
        <v>2456.5465253071129</v>
      </c>
      <c r="F37" s="19">
        <f t="shared" si="3"/>
        <v>225548.33562851686</v>
      </c>
    </row>
    <row r="38" spans="2:6" x14ac:dyDescent="0.2">
      <c r="B38" s="7">
        <v>24</v>
      </c>
      <c r="C38" s="20">
        <f t="shared" si="0"/>
        <v>225548.33562851686</v>
      </c>
      <c r="D38" s="19">
        <f t="shared" si="1"/>
        <v>2819.3541953564604</v>
      </c>
      <c r="E38" s="19">
        <f t="shared" si="2"/>
        <v>2487.253356873452</v>
      </c>
      <c r="F38" s="19">
        <f t="shared" si="3"/>
        <v>223061.08227164339</v>
      </c>
    </row>
    <row r="39" spans="2:6" x14ac:dyDescent="0.2">
      <c r="B39" s="7">
        <v>25</v>
      </c>
      <c r="C39" s="20">
        <f t="shared" si="0"/>
        <v>223061.08227164339</v>
      </c>
      <c r="D39" s="19">
        <f t="shared" si="1"/>
        <v>2788.2635283955424</v>
      </c>
      <c r="E39" s="19">
        <f t="shared" si="2"/>
        <v>2518.3440238343701</v>
      </c>
      <c r="F39" s="19">
        <f t="shared" si="3"/>
        <v>220542.73824780903</v>
      </c>
    </row>
    <row r="40" spans="2:6" x14ac:dyDescent="0.2">
      <c r="B40" s="7">
        <v>26</v>
      </c>
      <c r="C40" s="20">
        <f t="shared" si="0"/>
        <v>220542.73824780903</v>
      </c>
      <c r="D40" s="19">
        <f t="shared" si="1"/>
        <v>2756.7842280976129</v>
      </c>
      <c r="E40" s="19">
        <f t="shared" si="2"/>
        <v>2549.8233241322996</v>
      </c>
      <c r="F40" s="19">
        <f t="shared" si="3"/>
        <v>217992.91492367673</v>
      </c>
    </row>
    <row r="41" spans="2:6" x14ac:dyDescent="0.2">
      <c r="B41" s="7">
        <v>27</v>
      </c>
      <c r="C41" s="20">
        <f t="shared" si="0"/>
        <v>217992.91492367673</v>
      </c>
      <c r="D41" s="19">
        <f t="shared" si="1"/>
        <v>2724.9114365459591</v>
      </c>
      <c r="E41" s="19">
        <f t="shared" si="2"/>
        <v>2581.6961156839534</v>
      </c>
      <c r="F41" s="19">
        <f t="shared" si="3"/>
        <v>215411.21880799276</v>
      </c>
    </row>
    <row r="42" spans="2:6" x14ac:dyDescent="0.2">
      <c r="B42" s="7">
        <v>28</v>
      </c>
      <c r="C42" s="20">
        <f t="shared" si="0"/>
        <v>215411.21880799276</v>
      </c>
      <c r="D42" s="19">
        <f t="shared" si="1"/>
        <v>2692.6402350999092</v>
      </c>
      <c r="E42" s="19">
        <f t="shared" si="2"/>
        <v>2613.9673171300033</v>
      </c>
      <c r="F42" s="19">
        <f t="shared" si="3"/>
        <v>212797.25149086275</v>
      </c>
    </row>
    <row r="43" spans="2:6" x14ac:dyDescent="0.2">
      <c r="B43" s="7">
        <v>29</v>
      </c>
      <c r="C43" s="20">
        <f t="shared" si="0"/>
        <v>212797.25149086275</v>
      </c>
      <c r="D43" s="19">
        <f t="shared" si="1"/>
        <v>2659.9656436357841</v>
      </c>
      <c r="E43" s="19">
        <f t="shared" si="2"/>
        <v>2646.6419085941284</v>
      </c>
      <c r="F43" s="19">
        <f t="shared" si="3"/>
        <v>210150.60958226863</v>
      </c>
    </row>
    <row r="44" spans="2:6" x14ac:dyDescent="0.2">
      <c r="B44" s="7">
        <v>30</v>
      </c>
      <c r="C44" s="20">
        <f t="shared" si="0"/>
        <v>210150.60958226863</v>
      </c>
      <c r="D44" s="19">
        <f t="shared" si="1"/>
        <v>2626.8826197783578</v>
      </c>
      <c r="E44" s="19">
        <f t="shared" si="2"/>
        <v>2679.7249324515547</v>
      </c>
      <c r="F44" s="19">
        <f t="shared" si="3"/>
        <v>207470.88464981708</v>
      </c>
    </row>
    <row r="45" spans="2:6" x14ac:dyDescent="0.2">
      <c r="B45" s="7">
        <v>31</v>
      </c>
      <c r="C45" s="20">
        <f t="shared" si="0"/>
        <v>207470.88464981708</v>
      </c>
      <c r="D45" s="19">
        <f t="shared" si="1"/>
        <v>2593.3860581227132</v>
      </c>
      <c r="E45" s="19">
        <f t="shared" si="2"/>
        <v>2713.2214941071993</v>
      </c>
      <c r="F45" s="19">
        <f t="shared" si="3"/>
        <v>204757.66315570989</v>
      </c>
    </row>
    <row r="46" spans="2:6" x14ac:dyDescent="0.2">
      <c r="B46" s="7">
        <v>32</v>
      </c>
      <c r="C46" s="20">
        <f t="shared" si="0"/>
        <v>204757.66315570989</v>
      </c>
      <c r="D46" s="19">
        <f t="shared" si="1"/>
        <v>2559.4707894463736</v>
      </c>
      <c r="E46" s="19">
        <f t="shared" si="2"/>
        <v>2747.1367627835389</v>
      </c>
      <c r="F46" s="19">
        <f t="shared" si="3"/>
        <v>202010.52639292635</v>
      </c>
    </row>
    <row r="47" spans="2:6" x14ac:dyDescent="0.2">
      <c r="B47" s="7">
        <v>33</v>
      </c>
      <c r="C47" s="20">
        <f t="shared" si="0"/>
        <v>202010.52639292635</v>
      </c>
      <c r="D47" s="19">
        <f t="shared" si="1"/>
        <v>2525.1315799115791</v>
      </c>
      <c r="E47" s="19">
        <f t="shared" si="2"/>
        <v>2781.4759723183333</v>
      </c>
      <c r="F47" s="19">
        <f t="shared" si="3"/>
        <v>199229.05042060802</v>
      </c>
    </row>
    <row r="48" spans="2:6" x14ac:dyDescent="0.2">
      <c r="B48" s="7">
        <v>34</v>
      </c>
      <c r="C48" s="20">
        <f t="shared" si="0"/>
        <v>199229.05042060802</v>
      </c>
      <c r="D48" s="19">
        <f t="shared" si="1"/>
        <v>2490.3631302576</v>
      </c>
      <c r="E48" s="19">
        <f t="shared" si="2"/>
        <v>2816.2444219723125</v>
      </c>
      <c r="F48" s="19">
        <f t="shared" si="3"/>
        <v>196412.80599863571</v>
      </c>
    </row>
    <row r="49" spans="2:6" x14ac:dyDescent="0.2">
      <c r="B49" s="7">
        <v>35</v>
      </c>
      <c r="C49" s="20">
        <f t="shared" si="0"/>
        <v>196412.80599863571</v>
      </c>
      <c r="D49" s="19">
        <f t="shared" si="1"/>
        <v>2455.1600749829463</v>
      </c>
      <c r="E49" s="19">
        <f t="shared" si="2"/>
        <v>2851.4474772469662</v>
      </c>
      <c r="F49" s="19">
        <f t="shared" si="3"/>
        <v>193561.35852138876</v>
      </c>
    </row>
    <row r="50" spans="2:6" x14ac:dyDescent="0.2">
      <c r="B50" s="7">
        <v>36</v>
      </c>
      <c r="C50" s="20">
        <f t="shared" si="0"/>
        <v>193561.35852138876</v>
      </c>
      <c r="D50" s="19">
        <f t="shared" si="1"/>
        <v>2419.5169815173595</v>
      </c>
      <c r="E50" s="19">
        <f t="shared" si="2"/>
        <v>2887.090570712553</v>
      </c>
      <c r="F50" s="19">
        <f t="shared" si="3"/>
        <v>190674.26795067621</v>
      </c>
    </row>
    <row r="51" spans="2:6" x14ac:dyDescent="0.2">
      <c r="B51" s="7">
        <v>37</v>
      </c>
      <c r="C51" s="20">
        <f t="shared" si="0"/>
        <v>190674.26795067621</v>
      </c>
      <c r="D51" s="19">
        <f t="shared" si="1"/>
        <v>2383.4283493834523</v>
      </c>
      <c r="E51" s="19">
        <f t="shared" si="2"/>
        <v>2923.1792028464602</v>
      </c>
      <c r="F51" s="19">
        <f t="shared" si="3"/>
        <v>187751.08874782975</v>
      </c>
    </row>
    <row r="52" spans="2:6" x14ac:dyDescent="0.2">
      <c r="B52" s="7">
        <v>38</v>
      </c>
      <c r="C52" s="20">
        <f t="shared" si="0"/>
        <v>187751.08874782975</v>
      </c>
      <c r="D52" s="19">
        <f t="shared" si="1"/>
        <v>2346.8886093478718</v>
      </c>
      <c r="E52" s="19">
        <f t="shared" si="2"/>
        <v>2959.7189428820407</v>
      </c>
      <c r="F52" s="19">
        <f t="shared" si="3"/>
        <v>184791.36980494772</v>
      </c>
    </row>
    <row r="53" spans="2:6" x14ac:dyDescent="0.2">
      <c r="B53" s="7">
        <v>39</v>
      </c>
      <c r="C53" s="20">
        <f t="shared" si="0"/>
        <v>184791.36980494772</v>
      </c>
      <c r="D53" s="19">
        <f t="shared" si="1"/>
        <v>2309.8921225618465</v>
      </c>
      <c r="E53" s="19">
        <f t="shared" si="2"/>
        <v>2996.715429668066</v>
      </c>
      <c r="F53" s="19">
        <f t="shared" si="3"/>
        <v>181794.65437527967</v>
      </c>
    </row>
    <row r="54" spans="2:6" x14ac:dyDescent="0.2">
      <c r="B54" s="7">
        <v>40</v>
      </c>
      <c r="C54" s="20">
        <f t="shared" si="0"/>
        <v>181794.65437527967</v>
      </c>
      <c r="D54" s="19">
        <f t="shared" si="1"/>
        <v>2272.433179690996</v>
      </c>
      <c r="E54" s="19">
        <f t="shared" si="2"/>
        <v>3034.1743725389165</v>
      </c>
      <c r="F54" s="19">
        <f t="shared" si="3"/>
        <v>178760.48000274075</v>
      </c>
    </row>
    <row r="55" spans="2:6" x14ac:dyDescent="0.2">
      <c r="B55" s="7">
        <v>41</v>
      </c>
      <c r="C55" s="20">
        <f t="shared" si="0"/>
        <v>178760.48000274075</v>
      </c>
      <c r="D55" s="19">
        <f t="shared" si="1"/>
        <v>2234.5060000342592</v>
      </c>
      <c r="E55" s="19">
        <f t="shared" si="2"/>
        <v>3072.1015521956533</v>
      </c>
      <c r="F55" s="19">
        <f t="shared" si="3"/>
        <v>175688.3784505451</v>
      </c>
    </row>
    <row r="56" spans="2:6" x14ac:dyDescent="0.2">
      <c r="B56" s="7">
        <v>42</v>
      </c>
      <c r="C56" s="20">
        <f t="shared" si="0"/>
        <v>175688.3784505451</v>
      </c>
      <c r="D56" s="19">
        <f t="shared" si="1"/>
        <v>2196.1047306318137</v>
      </c>
      <c r="E56" s="19">
        <f t="shared" si="2"/>
        <v>3110.5028215980988</v>
      </c>
      <c r="F56" s="19">
        <f t="shared" si="3"/>
        <v>172577.87562894702</v>
      </c>
    </row>
    <row r="57" spans="2:6" x14ac:dyDescent="0.2">
      <c r="B57" s="7">
        <v>43</v>
      </c>
      <c r="C57" s="20">
        <f t="shared" si="0"/>
        <v>172577.87562894702</v>
      </c>
      <c r="D57" s="19">
        <f t="shared" si="1"/>
        <v>2157.2234453618375</v>
      </c>
      <c r="E57" s="19">
        <f t="shared" si="2"/>
        <v>3149.3841068680749</v>
      </c>
      <c r="F57" s="19">
        <f t="shared" si="3"/>
        <v>169428.49152207896</v>
      </c>
    </row>
    <row r="58" spans="2:6" x14ac:dyDescent="0.2">
      <c r="B58" s="7">
        <v>44</v>
      </c>
      <c r="C58" s="20">
        <f t="shared" si="0"/>
        <v>169428.49152207896</v>
      </c>
      <c r="D58" s="19">
        <f t="shared" si="1"/>
        <v>2117.8561440259869</v>
      </c>
      <c r="E58" s="19">
        <f t="shared" si="2"/>
        <v>3188.7514082039256</v>
      </c>
      <c r="F58" s="19">
        <f t="shared" si="3"/>
        <v>166239.74011387504</v>
      </c>
    </row>
    <row r="59" spans="2:6" x14ac:dyDescent="0.2">
      <c r="B59" s="7">
        <v>45</v>
      </c>
      <c r="C59" s="20">
        <f t="shared" si="0"/>
        <v>166239.74011387504</v>
      </c>
      <c r="D59" s="19">
        <f t="shared" si="1"/>
        <v>2077.9967514234381</v>
      </c>
      <c r="E59" s="19">
        <f t="shared" si="2"/>
        <v>3228.6108008064743</v>
      </c>
      <c r="F59" s="19">
        <f t="shared" si="3"/>
        <v>163011.12931306858</v>
      </c>
    </row>
    <row r="60" spans="2:6" x14ac:dyDescent="0.2">
      <c r="B60" s="7">
        <v>46</v>
      </c>
      <c r="C60" s="20">
        <f t="shared" si="0"/>
        <v>163011.12931306858</v>
      </c>
      <c r="D60" s="19">
        <f t="shared" si="1"/>
        <v>2037.6391164133572</v>
      </c>
      <c r="E60" s="19">
        <f t="shared" si="2"/>
        <v>3268.968435816555</v>
      </c>
      <c r="F60" s="19">
        <f t="shared" si="3"/>
        <v>159742.16087725203</v>
      </c>
    </row>
    <row r="61" spans="2:6" x14ac:dyDescent="0.2">
      <c r="B61" s="7">
        <v>47</v>
      </c>
      <c r="C61" s="20">
        <f t="shared" si="0"/>
        <v>159742.16087725203</v>
      </c>
      <c r="D61" s="19">
        <f t="shared" si="1"/>
        <v>1996.7770109656503</v>
      </c>
      <c r="E61" s="19">
        <f t="shared" si="2"/>
        <v>3309.8305412642621</v>
      </c>
      <c r="F61" s="19">
        <f t="shared" si="3"/>
        <v>156432.33033598776</v>
      </c>
    </row>
    <row r="62" spans="2:6" x14ac:dyDescent="0.2">
      <c r="B62" s="7">
        <v>48</v>
      </c>
      <c r="C62" s="20">
        <f t="shared" si="0"/>
        <v>156432.33033598776</v>
      </c>
      <c r="D62" s="19">
        <f t="shared" si="1"/>
        <v>1955.4041291998471</v>
      </c>
      <c r="E62" s="19">
        <f t="shared" si="2"/>
        <v>3351.2034230300651</v>
      </c>
      <c r="F62" s="19">
        <f t="shared" si="3"/>
        <v>153081.1269129577</v>
      </c>
    </row>
    <row r="63" spans="2:6" x14ac:dyDescent="0.2">
      <c r="B63" s="7">
        <v>49</v>
      </c>
      <c r="C63" s="20">
        <f t="shared" si="0"/>
        <v>153081.1269129577</v>
      </c>
      <c r="D63" s="19">
        <f t="shared" si="1"/>
        <v>1913.5140864119712</v>
      </c>
      <c r="E63" s="19">
        <f t="shared" si="2"/>
        <v>3393.0934658179413</v>
      </c>
      <c r="F63" s="19">
        <f t="shared" si="3"/>
        <v>149688.03344713975</v>
      </c>
    </row>
    <row r="64" spans="2:6" x14ac:dyDescent="0.2">
      <c r="B64" s="7">
        <v>50</v>
      </c>
      <c r="C64" s="20">
        <f t="shared" si="0"/>
        <v>149688.03344713975</v>
      </c>
      <c r="D64" s="19">
        <f t="shared" si="1"/>
        <v>1871.1004180892469</v>
      </c>
      <c r="E64" s="19">
        <f t="shared" si="2"/>
        <v>3435.5071341406656</v>
      </c>
      <c r="F64" s="19">
        <f t="shared" si="3"/>
        <v>146252.52631299908</v>
      </c>
    </row>
    <row r="65" spans="2:6" x14ac:dyDescent="0.2">
      <c r="B65" s="7">
        <v>51</v>
      </c>
      <c r="C65" s="20">
        <f t="shared" si="0"/>
        <v>146252.52631299908</v>
      </c>
      <c r="D65" s="19">
        <f t="shared" si="1"/>
        <v>1828.1565789124886</v>
      </c>
      <c r="E65" s="19">
        <f t="shared" si="2"/>
        <v>3478.4509733174236</v>
      </c>
      <c r="F65" s="19">
        <f t="shared" si="3"/>
        <v>142774.07533968164</v>
      </c>
    </row>
    <row r="66" spans="2:6" x14ac:dyDescent="0.2">
      <c r="B66" s="7">
        <v>52</v>
      </c>
      <c r="C66" s="20">
        <f t="shared" si="0"/>
        <v>142774.07533968164</v>
      </c>
      <c r="D66" s="19">
        <f t="shared" si="1"/>
        <v>1784.6759417460205</v>
      </c>
      <c r="E66" s="19">
        <f t="shared" si="2"/>
        <v>3521.9316104838917</v>
      </c>
      <c r="F66" s="19">
        <f t="shared" si="3"/>
        <v>139252.14372919776</v>
      </c>
    </row>
    <row r="67" spans="2:6" x14ac:dyDescent="0.2">
      <c r="B67" s="7">
        <v>53</v>
      </c>
      <c r="C67" s="20">
        <f t="shared" si="0"/>
        <v>139252.14372919776</v>
      </c>
      <c r="D67" s="19">
        <f t="shared" si="1"/>
        <v>1740.651796614972</v>
      </c>
      <c r="E67" s="19">
        <f t="shared" si="2"/>
        <v>3565.9557556149402</v>
      </c>
      <c r="F67" s="19">
        <f t="shared" si="3"/>
        <v>135686.18797358283</v>
      </c>
    </row>
    <row r="68" spans="2:6" x14ac:dyDescent="0.2">
      <c r="B68" s="7">
        <v>54</v>
      </c>
      <c r="C68" s="20">
        <f t="shared" si="0"/>
        <v>135686.18797358283</v>
      </c>
      <c r="D68" s="19">
        <f t="shared" si="1"/>
        <v>1696.0773496697855</v>
      </c>
      <c r="E68" s="19">
        <f t="shared" si="2"/>
        <v>3610.5302025601268</v>
      </c>
      <c r="F68" s="19">
        <f t="shared" si="3"/>
        <v>132075.6577710227</v>
      </c>
    </row>
    <row r="69" spans="2:6" x14ac:dyDescent="0.2">
      <c r="B69" s="7">
        <v>55</v>
      </c>
      <c r="C69" s="20">
        <f t="shared" si="0"/>
        <v>132075.6577710227</v>
      </c>
      <c r="D69" s="19">
        <f t="shared" si="1"/>
        <v>1650.9457221377836</v>
      </c>
      <c r="E69" s="19">
        <f t="shared" si="2"/>
        <v>3655.6618300921291</v>
      </c>
      <c r="F69" s="19">
        <f t="shared" si="3"/>
        <v>128419.99594093057</v>
      </c>
    </row>
    <row r="70" spans="2:6" x14ac:dyDescent="0.2">
      <c r="B70" s="7">
        <v>56</v>
      </c>
      <c r="C70" s="20">
        <f t="shared" si="0"/>
        <v>128419.99594093057</v>
      </c>
      <c r="D70" s="19">
        <f t="shared" si="1"/>
        <v>1605.2499492616323</v>
      </c>
      <c r="E70" s="19">
        <f t="shared" si="2"/>
        <v>3701.3576029682799</v>
      </c>
      <c r="F70" s="19">
        <f t="shared" si="3"/>
        <v>124718.6383379623</v>
      </c>
    </row>
    <row r="71" spans="2:6" x14ac:dyDescent="0.2">
      <c r="B71" s="7">
        <v>57</v>
      </c>
      <c r="C71" s="20">
        <f t="shared" si="0"/>
        <v>124718.6383379623</v>
      </c>
      <c r="D71" s="19">
        <f t="shared" si="1"/>
        <v>1558.9829792245289</v>
      </c>
      <c r="E71" s="19">
        <f t="shared" si="2"/>
        <v>3747.6245730053834</v>
      </c>
      <c r="F71" s="19">
        <f t="shared" si="3"/>
        <v>120971.01376495692</v>
      </c>
    </row>
    <row r="72" spans="2:6" x14ac:dyDescent="0.2">
      <c r="B72" s="7">
        <v>58</v>
      </c>
      <c r="C72" s="20">
        <f t="shared" si="0"/>
        <v>120971.01376495692</v>
      </c>
      <c r="D72" s="19">
        <f t="shared" si="1"/>
        <v>1512.1376720619617</v>
      </c>
      <c r="E72" s="19">
        <f t="shared" si="2"/>
        <v>3794.4698801679506</v>
      </c>
      <c r="F72" s="19">
        <f t="shared" si="3"/>
        <v>117176.54388478897</v>
      </c>
    </row>
    <row r="73" spans="2:6" x14ac:dyDescent="0.2">
      <c r="B73" s="7">
        <v>59</v>
      </c>
      <c r="C73" s="20">
        <f t="shared" si="0"/>
        <v>117176.54388478897</v>
      </c>
      <c r="D73" s="19">
        <f t="shared" si="1"/>
        <v>1464.7067985598621</v>
      </c>
      <c r="E73" s="19">
        <f t="shared" si="2"/>
        <v>3841.9007536700501</v>
      </c>
      <c r="F73" s="19">
        <f t="shared" si="3"/>
        <v>113334.64313111892</v>
      </c>
    </row>
    <row r="74" spans="2:6" x14ac:dyDescent="0.2">
      <c r="B74" s="7">
        <v>60</v>
      </c>
      <c r="C74" s="20">
        <f t="shared" si="0"/>
        <v>113334.64313111892</v>
      </c>
      <c r="D74" s="19">
        <f t="shared" si="1"/>
        <v>1416.6830391389865</v>
      </c>
      <c r="E74" s="19">
        <f t="shared" si="2"/>
        <v>3889.9245130909258</v>
      </c>
      <c r="F74" s="19">
        <f t="shared" si="3"/>
        <v>109444.718618028</v>
      </c>
    </row>
    <row r="75" spans="2:6" x14ac:dyDescent="0.2">
      <c r="B75" s="7">
        <v>61</v>
      </c>
      <c r="C75" s="20">
        <f t="shared" si="0"/>
        <v>109444.718618028</v>
      </c>
      <c r="D75" s="19">
        <f t="shared" si="1"/>
        <v>1368.0589827253498</v>
      </c>
      <c r="E75" s="19">
        <f t="shared" si="2"/>
        <v>3938.5485695045627</v>
      </c>
      <c r="F75" s="19">
        <f t="shared" si="3"/>
        <v>105506.17004852343</v>
      </c>
    </row>
    <row r="76" spans="2:6" x14ac:dyDescent="0.2">
      <c r="B76" s="7">
        <v>62</v>
      </c>
      <c r="C76" s="20">
        <f t="shared" si="0"/>
        <v>105506.17004852343</v>
      </c>
      <c r="D76" s="19">
        <f t="shared" si="1"/>
        <v>1318.8271256065429</v>
      </c>
      <c r="E76" s="19">
        <f t="shared" si="2"/>
        <v>3987.7804266233697</v>
      </c>
      <c r="F76" s="19">
        <f t="shared" si="3"/>
        <v>101518.38962190006</v>
      </c>
    </row>
    <row r="77" spans="2:6" x14ac:dyDescent="0.2">
      <c r="B77" s="7">
        <v>63</v>
      </c>
      <c r="C77" s="20">
        <f t="shared" si="0"/>
        <v>101518.38962190006</v>
      </c>
      <c r="D77" s="19">
        <f t="shared" si="1"/>
        <v>1268.9798702737507</v>
      </c>
      <c r="E77" s="19">
        <f t="shared" si="2"/>
        <v>4037.6276819561617</v>
      </c>
      <c r="F77" s="19">
        <f t="shared" si="3"/>
        <v>97480.761939943899</v>
      </c>
    </row>
    <row r="78" spans="2:6" x14ac:dyDescent="0.2">
      <c r="B78" s="7">
        <v>64</v>
      </c>
      <c r="C78" s="20">
        <f t="shared" si="0"/>
        <v>97480.761939943899</v>
      </c>
      <c r="D78" s="19">
        <f t="shared" si="1"/>
        <v>1218.5095242492987</v>
      </c>
      <c r="E78" s="19">
        <f t="shared" si="2"/>
        <v>4088.0980279806136</v>
      </c>
      <c r="F78" s="19">
        <f t="shared" si="3"/>
        <v>93392.663911963289</v>
      </c>
    </row>
    <row r="79" spans="2:6" x14ac:dyDescent="0.2">
      <c r="B79" s="7">
        <v>65</v>
      </c>
      <c r="C79" s="20">
        <f t="shared" si="0"/>
        <v>93392.663911963289</v>
      </c>
      <c r="D79" s="19">
        <f t="shared" si="1"/>
        <v>1167.408298899541</v>
      </c>
      <c r="E79" s="19">
        <f t="shared" si="2"/>
        <v>4139.199253330371</v>
      </c>
      <c r="F79" s="19">
        <f t="shared" si="3"/>
        <v>89253.464658632918</v>
      </c>
    </row>
    <row r="80" spans="2:6" x14ac:dyDescent="0.2">
      <c r="B80" s="7">
        <v>66</v>
      </c>
      <c r="C80" s="20">
        <f t="shared" si="0"/>
        <v>89253.464658632918</v>
      </c>
      <c r="D80" s="19">
        <f t="shared" si="1"/>
        <v>1115.6683082329114</v>
      </c>
      <c r="E80" s="19">
        <f t="shared" si="2"/>
        <v>4190.9392439970015</v>
      </c>
      <c r="F80" s="19">
        <f t="shared" si="3"/>
        <v>85062.525414635922</v>
      </c>
    </row>
    <row r="81" spans="2:6" x14ac:dyDescent="0.2">
      <c r="B81" s="7">
        <v>67</v>
      </c>
      <c r="C81" s="20">
        <f t="shared" ref="C81:C97" si="4">F80</f>
        <v>85062.525414635922</v>
      </c>
      <c r="D81" s="19">
        <f t="shared" ref="D81:D97" si="5">C81*$C$7/12</f>
        <v>1063.2815676829489</v>
      </c>
      <c r="E81" s="19">
        <f t="shared" ref="E81:E97" si="6">$C$9-D81</f>
        <v>4243.3259845469638</v>
      </c>
      <c r="F81" s="19">
        <f t="shared" ref="F81:F97" si="7">C81-E81</f>
        <v>80819.199430088964</v>
      </c>
    </row>
    <row r="82" spans="2:6" x14ac:dyDescent="0.2">
      <c r="B82" s="7">
        <v>68</v>
      </c>
      <c r="C82" s="20">
        <f t="shared" si="4"/>
        <v>80819.199430088964</v>
      </c>
      <c r="D82" s="19">
        <f t="shared" si="5"/>
        <v>1010.239992876112</v>
      </c>
      <c r="E82" s="19">
        <f t="shared" si="6"/>
        <v>4296.367559353801</v>
      </c>
      <c r="F82" s="19">
        <f t="shared" si="7"/>
        <v>76522.831870735157</v>
      </c>
    </row>
    <row r="83" spans="2:6" x14ac:dyDescent="0.2">
      <c r="B83" s="7">
        <v>69</v>
      </c>
      <c r="C83" s="20">
        <f t="shared" si="4"/>
        <v>76522.831870735157</v>
      </c>
      <c r="D83" s="19">
        <f t="shared" si="5"/>
        <v>956.53539838418953</v>
      </c>
      <c r="E83" s="19">
        <f t="shared" si="6"/>
        <v>4350.0721538457228</v>
      </c>
      <c r="F83" s="19">
        <f t="shared" si="7"/>
        <v>72172.759716889428</v>
      </c>
    </row>
    <row r="84" spans="2:6" x14ac:dyDescent="0.2">
      <c r="B84" s="7">
        <v>70</v>
      </c>
      <c r="C84" s="20">
        <f t="shared" si="4"/>
        <v>72172.759716889428</v>
      </c>
      <c r="D84" s="19">
        <f t="shared" si="5"/>
        <v>902.15949646111778</v>
      </c>
      <c r="E84" s="19">
        <f t="shared" si="6"/>
        <v>4404.4480557687948</v>
      </c>
      <c r="F84" s="19">
        <f t="shared" si="7"/>
        <v>67768.311661120635</v>
      </c>
    </row>
    <row r="85" spans="2:6" x14ac:dyDescent="0.2">
      <c r="B85" s="7">
        <v>71</v>
      </c>
      <c r="C85" s="20">
        <f t="shared" si="4"/>
        <v>67768.311661120635</v>
      </c>
      <c r="D85" s="19">
        <f t="shared" si="5"/>
        <v>847.10389576400792</v>
      </c>
      <c r="E85" s="19">
        <f t="shared" si="6"/>
        <v>4459.5036564659049</v>
      </c>
      <c r="F85" s="19">
        <f t="shared" si="7"/>
        <v>63308.808004654733</v>
      </c>
    </row>
    <row r="86" spans="2:6" x14ac:dyDescent="0.2">
      <c r="B86" s="7">
        <v>72</v>
      </c>
      <c r="C86" s="20">
        <f t="shared" si="4"/>
        <v>63308.808004654733</v>
      </c>
      <c r="D86" s="19">
        <f t="shared" si="5"/>
        <v>791.36010005818423</v>
      </c>
      <c r="E86" s="19">
        <f t="shared" si="6"/>
        <v>4515.2474521717286</v>
      </c>
      <c r="F86" s="19">
        <f t="shared" si="7"/>
        <v>58793.560552483003</v>
      </c>
    </row>
    <row r="87" spans="2:6" x14ac:dyDescent="0.2">
      <c r="B87" s="7">
        <v>73</v>
      </c>
      <c r="C87" s="20">
        <f t="shared" si="4"/>
        <v>58793.560552483003</v>
      </c>
      <c r="D87" s="19">
        <f t="shared" si="5"/>
        <v>734.91950690603744</v>
      </c>
      <c r="E87" s="19">
        <f t="shared" si="6"/>
        <v>4571.6880453238755</v>
      </c>
      <c r="F87" s="19">
        <f t="shared" si="7"/>
        <v>54221.872507159125</v>
      </c>
    </row>
    <row r="88" spans="2:6" x14ac:dyDescent="0.2">
      <c r="B88" s="7">
        <v>74</v>
      </c>
      <c r="C88" s="20">
        <f t="shared" si="4"/>
        <v>54221.872507159125</v>
      </c>
      <c r="D88" s="19">
        <f t="shared" si="5"/>
        <v>677.77340633948904</v>
      </c>
      <c r="E88" s="19">
        <f t="shared" si="6"/>
        <v>4628.8341458904233</v>
      </c>
      <c r="F88" s="19">
        <f t="shared" si="7"/>
        <v>49593.0383612687</v>
      </c>
    </row>
    <row r="89" spans="2:6" x14ac:dyDescent="0.2">
      <c r="B89" s="7">
        <v>75</v>
      </c>
      <c r="C89" s="20">
        <f t="shared" si="4"/>
        <v>49593.0383612687</v>
      </c>
      <c r="D89" s="19">
        <f t="shared" si="5"/>
        <v>619.91297951585875</v>
      </c>
      <c r="E89" s="19">
        <f t="shared" si="6"/>
        <v>4686.6945727140537</v>
      </c>
      <c r="F89" s="19">
        <f t="shared" si="7"/>
        <v>44906.343788554645</v>
      </c>
    </row>
    <row r="90" spans="2:6" x14ac:dyDescent="0.2">
      <c r="B90" s="7">
        <v>76</v>
      </c>
      <c r="C90" s="20">
        <f t="shared" si="4"/>
        <v>44906.343788554645</v>
      </c>
      <c r="D90" s="19">
        <f t="shared" si="5"/>
        <v>561.32929735693301</v>
      </c>
      <c r="E90" s="19">
        <f t="shared" si="6"/>
        <v>4745.2782548729792</v>
      </c>
      <c r="F90" s="19">
        <f t="shared" si="7"/>
        <v>40161.065533681664</v>
      </c>
    </row>
    <row r="91" spans="2:6" x14ac:dyDescent="0.2">
      <c r="B91" s="7">
        <v>77</v>
      </c>
      <c r="C91" s="20">
        <f t="shared" si="4"/>
        <v>40161.065533681664</v>
      </c>
      <c r="D91" s="19">
        <f t="shared" si="5"/>
        <v>502.01331917102078</v>
      </c>
      <c r="E91" s="19">
        <f t="shared" si="6"/>
        <v>4804.5942330588914</v>
      </c>
      <c r="F91" s="19">
        <f t="shared" si="7"/>
        <v>35356.471300622768</v>
      </c>
    </row>
    <row r="92" spans="2:6" x14ac:dyDescent="0.2">
      <c r="B92" s="7">
        <v>78</v>
      </c>
      <c r="C92" s="20">
        <f t="shared" si="4"/>
        <v>35356.471300622768</v>
      </c>
      <c r="D92" s="19">
        <f t="shared" si="5"/>
        <v>441.95589125778457</v>
      </c>
      <c r="E92" s="19">
        <f t="shared" si="6"/>
        <v>4864.6516609721275</v>
      </c>
      <c r="F92" s="19">
        <f t="shared" si="7"/>
        <v>30491.819639650639</v>
      </c>
    </row>
    <row r="93" spans="2:6" x14ac:dyDescent="0.2">
      <c r="B93" s="7">
        <v>79</v>
      </c>
      <c r="C93" s="20">
        <f t="shared" si="4"/>
        <v>30491.819639650639</v>
      </c>
      <c r="D93" s="19">
        <f t="shared" si="5"/>
        <v>381.14774549563299</v>
      </c>
      <c r="E93" s="19">
        <f t="shared" si="6"/>
        <v>4925.4598067342795</v>
      </c>
      <c r="F93" s="19">
        <f t="shared" si="7"/>
        <v>25566.359832916358</v>
      </c>
    </row>
    <row r="94" spans="2:6" x14ac:dyDescent="0.2">
      <c r="B94" s="7">
        <v>80</v>
      </c>
      <c r="C94" s="20">
        <f t="shared" si="4"/>
        <v>25566.359832916358</v>
      </c>
      <c r="D94" s="19">
        <f t="shared" si="5"/>
        <v>319.57949791145444</v>
      </c>
      <c r="E94" s="19">
        <f t="shared" si="6"/>
        <v>4987.0280543184581</v>
      </c>
      <c r="F94" s="19">
        <f t="shared" si="7"/>
        <v>20579.331778597902</v>
      </c>
    </row>
    <row r="95" spans="2:6" x14ac:dyDescent="0.2">
      <c r="B95" s="7">
        <v>81</v>
      </c>
      <c r="C95" s="20">
        <f t="shared" si="4"/>
        <v>20579.331778597902</v>
      </c>
      <c r="D95" s="19">
        <f t="shared" si="5"/>
        <v>257.24164723247378</v>
      </c>
      <c r="E95" s="19">
        <f t="shared" si="6"/>
        <v>5049.3659049974385</v>
      </c>
      <c r="F95" s="19">
        <f t="shared" si="7"/>
        <v>15529.965873600464</v>
      </c>
    </row>
    <row r="96" spans="2:6" x14ac:dyDescent="0.2">
      <c r="B96" s="7">
        <v>82</v>
      </c>
      <c r="C96" s="20">
        <f t="shared" si="4"/>
        <v>15529.965873600464</v>
      </c>
      <c r="D96" s="19">
        <f t="shared" si="5"/>
        <v>194.12457342000582</v>
      </c>
      <c r="E96" s="19">
        <f t="shared" si="6"/>
        <v>5112.4829788099069</v>
      </c>
      <c r="F96" s="19">
        <f t="shared" si="7"/>
        <v>10417.482894790557</v>
      </c>
    </row>
    <row r="97" spans="2:6" x14ac:dyDescent="0.2">
      <c r="B97" s="7">
        <v>83</v>
      </c>
      <c r="C97" s="20">
        <f t="shared" si="4"/>
        <v>10417.482894790557</v>
      </c>
      <c r="D97" s="19">
        <f t="shared" si="5"/>
        <v>130.21853618488197</v>
      </c>
      <c r="E97" s="19">
        <f t="shared" si="6"/>
        <v>5176.3890160450301</v>
      </c>
      <c r="F97" s="19">
        <f t="shared" si="7"/>
        <v>5241.093878745527</v>
      </c>
    </row>
    <row r="98" spans="2:6" x14ac:dyDescent="0.2">
      <c r="B98" s="7">
        <v>84</v>
      </c>
      <c r="C98" s="20">
        <f>F97</f>
        <v>5241.093878745527</v>
      </c>
      <c r="D98" s="19">
        <f>C98*$C$7/12</f>
        <v>65.513673484319085</v>
      </c>
      <c r="E98" s="19">
        <f>$C$9-D98</f>
        <v>5241.0938787455934</v>
      </c>
      <c r="F98" s="19">
        <f>C98-E98</f>
        <v>-6.6393113229423761E-11</v>
      </c>
    </row>
  </sheetData>
  <mergeCells count="2">
    <mergeCell ref="B4:C4"/>
    <mergeCell ref="B13:C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Business Loan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2023-07-03T16:24:18Z</dcterms:created>
  <dcterms:modified xsi:type="dcterms:W3CDTF">2023-07-27T17:51:50Z</dcterms:modified>
</cp:coreProperties>
</file>