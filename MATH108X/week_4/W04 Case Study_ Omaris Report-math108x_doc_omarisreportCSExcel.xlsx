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85" windowHeight="7875" activeTab="2"/>
  </bookViews>
  <sheets>
    <sheet name="Number of Students" sheetId="7" r:id="rId1"/>
    <sheet name="Sales by Age" sheetId="1" r:id="rId2"/>
    <sheet name="Sales and Distance from Stadium" sheetId="8" r:id="rId3"/>
    <sheet name="Average Monthly Sales" sheetId="9" r:id="rId4"/>
    <sheet name="How Did I Do" sheetId="10" r:id="rId5"/>
  </sheets>
  <calcPr calcId="144525"/>
</workbook>
</file>

<file path=xl/sharedStrings.xml><?xml version="1.0" encoding="utf-8"?>
<sst xmlns="http://schemas.openxmlformats.org/spreadsheetml/2006/main" count="85" uniqueCount="78">
  <si>
    <t>Number of Students</t>
  </si>
  <si>
    <t>Community Survey: School Enrollment</t>
  </si>
  <si>
    <t xml:space="preserve">Number of Students </t>
  </si>
  <si>
    <t>Kampala, Uganda</t>
  </si>
  <si>
    <t>Recife, Brazil</t>
  </si>
  <si>
    <t>Velencia, Spain</t>
  </si>
  <si>
    <t>Bergen, Norway</t>
  </si>
  <si>
    <t>Age 6-10</t>
  </si>
  <si>
    <t>Age 11-15</t>
  </si>
  <si>
    <t>Age 16-18</t>
  </si>
  <si>
    <t>Age 19-25</t>
  </si>
  <si>
    <t>Place new graph here!</t>
  </si>
  <si>
    <t>Sales by Age</t>
  </si>
  <si>
    <t>Current Annual Sales by Age Group</t>
  </si>
  <si>
    <t>Average Annual Sales</t>
  </si>
  <si>
    <t>Place  graph here!</t>
  </si>
  <si>
    <t>Age 25+</t>
  </si>
  <si>
    <t>Sales &amp; Distance from Stadium</t>
  </si>
  <si>
    <t>Sales by Stores</t>
  </si>
  <si>
    <t>Store 1 Sales</t>
  </si>
  <si>
    <t>Store 2 Sales</t>
  </si>
  <si>
    <t>Store 3 Sales</t>
  </si>
  <si>
    <t>Store 4 Sales</t>
  </si>
  <si>
    <t>Store 5 Sales</t>
  </si>
  <si>
    <t>Store 6 Sales</t>
  </si>
  <si>
    <t>Year 1 Total Sales</t>
  </si>
  <si>
    <t>Year 2 Total Sales</t>
  </si>
  <si>
    <t>Year 3 Total Sales</t>
  </si>
  <si>
    <t>Year 4 Total Sales</t>
  </si>
  <si>
    <t>Year 5 Total Sales</t>
  </si>
  <si>
    <t>Standard Deviation of Total Sales</t>
  </si>
  <si>
    <t>Store Distance from Stadium</t>
  </si>
  <si>
    <t>Distance from Stadium (km)</t>
  </si>
  <si>
    <t>Average Annual Sales ($)</t>
  </si>
  <si>
    <t>Store 1</t>
  </si>
  <si>
    <t>Store 2</t>
  </si>
  <si>
    <t>Store 3</t>
  </si>
  <si>
    <t>Store 4</t>
  </si>
  <si>
    <t>Place graph here!</t>
  </si>
  <si>
    <t>Store 5</t>
  </si>
  <si>
    <t>Store 6</t>
  </si>
  <si>
    <t>Average Monthly Sales</t>
  </si>
  <si>
    <t>Average Monthly Sales for All Stores</t>
  </si>
  <si>
    <t>Month</t>
  </si>
  <si>
    <t>Month Number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</si>
  <si>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</si>
  <si>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</si>
  <si>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</si>
  <si>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</si>
  <si>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</si>
  <si>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</si>
  <si>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</si>
  <si>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</si>
  <si>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</si>
  <si>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</si>
  <si>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</si>
  <si>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</si>
  <si>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2025 Block 5</t>
  </si>
  <si>
    <t>Number of Students, F7</t>
  </si>
  <si>
    <t>Number of Students, F8</t>
  </si>
  <si>
    <t>Number of Students, F9</t>
  </si>
  <si>
    <t>Number of Students, F10</t>
  </si>
  <si>
    <t>Sales &amp; Distance from Stadium, D11</t>
  </si>
  <si>
    <t>Sales &amp; Distance from Stadium, D12</t>
  </si>
  <si>
    <t>Sales &amp; Distance from Stadium, E11</t>
  </si>
  <si>
    <t>Sales &amp; Distance from Stadium, E12</t>
  </si>
  <si>
    <t>Sales &amp; Distance from Stadium, F11</t>
  </si>
  <si>
    <t>Sales &amp; Distance from Stadium, F12</t>
  </si>
  <si>
    <t>Sales &amp; Distance from Stadium, G11</t>
  </si>
  <si>
    <t>Sales &amp; Distance from Stadium, G12</t>
  </si>
  <si>
    <t>Sales &amp; Distance from Stadium, H11</t>
  </si>
  <si>
    <t>Sales &amp; Distance from Stadium, H12</t>
  </si>
  <si>
    <t>Sales &amp; Distance from Stadium, D16</t>
  </si>
  <si>
    <t>Sales &amp; Distance from Stadium, D17</t>
  </si>
  <si>
    <t>Sales &amp; Distance from Stadium, D18</t>
  </si>
  <si>
    <t>Sales &amp; Distance from Stadium, D19</t>
  </si>
  <si>
    <t>Sales &amp; Distance from Stadium, D20</t>
  </si>
  <si>
    <t>Sales &amp; Distance from Stadium, D21</t>
  </si>
</sst>
</file>

<file path=xl/styles.xml><?xml version="1.0" encoding="utf-8"?>
<styleSheet xmlns="http://schemas.openxmlformats.org/spreadsheetml/2006/main">
  <numFmts count="6">
    <numFmt numFmtId="176" formatCode="_(&quot;$&quot;* #,##0_);_(&quot;$&quot;* \(#,##0\);_(&quot;$&quot;* &quot;-&quot;??_);_(@_)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  <numFmt numFmtId="178" formatCode="m/d;@"/>
    <numFmt numFmtId="179" formatCode="_ * #,##0.00_ ;_ * \-#,##0.00_ ;_ * &quot;-&quot;??_ ;_ @_ "/>
  </numFmts>
  <fonts count="23">
    <font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FDFF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4" fillId="2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17" fillId="12" borderId="10" applyNumberFormat="0" applyAlignment="0" applyProtection="0">
      <alignment vertical="center"/>
    </xf>
    <xf numFmtId="44" fontId="0" fillId="0" borderId="0" applyFont="0" applyFill="0" applyBorder="0" applyAlignment="0" applyProtection="0"/>
    <xf numFmtId="0" fontId="10" fillId="16" borderId="0" applyNumberFormat="0" applyBorder="0" applyAlignment="0" applyProtection="0">
      <alignment vertical="center"/>
    </xf>
    <xf numFmtId="0" fontId="6" fillId="20" borderId="11" applyNumberFormat="0" applyFont="0" applyAlignment="0" applyProtection="0">
      <alignment vertical="center"/>
    </xf>
    <xf numFmtId="0" fontId="16" fillId="14" borderId="9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12" borderId="9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4">
    <xf numFmtId="0" fontId="0" fillId="0" borderId="0" xfId="0"/>
    <xf numFmtId="0" fontId="0" fillId="2" borderId="0" xfId="0" applyFill="1" applyAlignment="1">
      <alignment horizontal="center"/>
    </xf>
    <xf numFmtId="178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27" applyNumberFormat="1" applyFont="1" applyBorder="1" applyAlignment="1">
      <alignment horizontal="center"/>
    </xf>
    <xf numFmtId="176" fontId="0" fillId="0" borderId="1" xfId="27" applyNumberFormat="1" applyFont="1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1" xfId="0" applyBorder="1"/>
    <xf numFmtId="176" fontId="0" fillId="0" borderId="1" xfId="27" applyNumberFormat="1" applyFont="1" applyBorder="1"/>
    <xf numFmtId="176" fontId="0" fillId="4" borderId="1" xfId="27" applyNumberFormat="1" applyFont="1" applyFill="1" applyBorder="1"/>
    <xf numFmtId="0" fontId="0" fillId="0" borderId="1" xfId="0" applyBorder="1" applyAlignment="1">
      <alignment horizontal="right"/>
    </xf>
    <xf numFmtId="176" fontId="0" fillId="5" borderId="1" xfId="27" applyNumberFormat="1" applyFont="1" applyFill="1" applyBorder="1"/>
    <xf numFmtId="176" fontId="0" fillId="6" borderId="1" xfId="27" applyNumberFormat="1" applyFill="1" applyBorder="1"/>
    <xf numFmtId="178" fontId="0" fillId="0" borderId="1" xfId="0" applyNumberFormat="1" applyBorder="1" applyAlignment="1">
      <alignment horizontal="center"/>
    </xf>
    <xf numFmtId="176" fontId="0" fillId="4" borderId="1" xfId="27" applyNumberFormat="1" applyFont="1" applyFill="1" applyBorder="1" applyAlignment="1">
      <alignment horizontal="center"/>
    </xf>
    <xf numFmtId="176" fontId="0" fillId="4" borderId="1" xfId="27" applyNumberFormat="1" applyFont="1" applyFill="1" applyBorder="1" applyAlignment="1">
      <alignment horizontal="center" wrapText="1"/>
    </xf>
    <xf numFmtId="176" fontId="0" fillId="0" borderId="1" xfId="27" applyNumberFormat="1" applyFont="1" applyBorder="1" applyAlignment="1">
      <alignment horizontal="center"/>
    </xf>
    <xf numFmtId="176" fontId="0" fillId="0" borderId="1" xfId="27" applyNumberFormat="1" applyFont="1" applyBorder="1" applyAlignment="1">
      <alignment horizontal="center" wrapText="1"/>
    </xf>
    <xf numFmtId="176" fontId="0" fillId="7" borderId="1" xfId="27" applyNumberFormat="1" applyFont="1" applyFill="1" applyBorder="1"/>
    <xf numFmtId="176" fontId="0" fillId="7" borderId="1" xfId="27" applyNumberFormat="1" applyFont="1" applyFill="1" applyBorder="1" applyAlignment="1">
      <alignment horizontal="center"/>
    </xf>
    <xf numFmtId="176" fontId="0" fillId="7" borderId="1" xfId="27" applyNumberFormat="1" applyFont="1" applyFill="1" applyBorder="1" applyAlignment="1">
      <alignment horizontal="center" wrapText="1"/>
    </xf>
    <xf numFmtId="0" fontId="0" fillId="0" borderId="0" xfId="0" applyProtection="1">
      <protection locked="0"/>
    </xf>
    <xf numFmtId="178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wrapText="1"/>
      <protection locked="0"/>
    </xf>
    <xf numFmtId="37" fontId="0" fillId="0" borderId="1" xfId="27" applyNumberFormat="1" applyFont="1" applyBorder="1" applyProtection="1">
      <protection locked="0"/>
    </xf>
    <xf numFmtId="3" fontId="0" fillId="0" borderId="1" xfId="0" applyNumberFormat="1" applyBorder="1" applyProtection="1">
      <protection locked="0"/>
    </xf>
    <xf numFmtId="37" fontId="0" fillId="0" borderId="0" xfId="27" applyNumberFormat="1" applyFont="1" applyBorder="1" applyProtection="1">
      <protection locked="0"/>
    </xf>
    <xf numFmtId="0" fontId="0" fillId="0" borderId="4" xfId="0" applyBorder="1" applyAlignment="1" applyProtection="1">
      <alignment horizontal="center"/>
      <protection locked="0"/>
    </xf>
    <xf numFmtId="3" fontId="0" fillId="6" borderId="1" xfId="0" applyNumberFormat="1" applyFill="1" applyBorder="1" applyProtection="1">
      <protection locked="0"/>
    </xf>
    <xf numFmtId="0" fontId="0" fillId="3" borderId="0" xfId="0" applyFill="1" applyProtection="1">
      <protection locked="0"/>
    </xf>
    <xf numFmtId="0" fontId="0" fillId="3" borderId="0" xfId="0" applyFill="1" applyAlignment="1" applyProtection="1">
      <alignment horizontal="center"/>
      <protection locked="0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2"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'Number of Students'!$C$6</c:f>
              <c:strCache>
                <c:ptCount val="1"/>
                <c:pt idx="0">
                  <c:v>Kampala, Uganda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'Number of Students'!$B$7:$B$10</c:f>
              <c:strCache>
                <c:ptCount val="4"/>
                <c:pt idx="0">
                  <c:v>Age 6-10</c:v>
                </c:pt>
                <c:pt idx="1">
                  <c:v>Age 11-15</c:v>
                </c:pt>
                <c:pt idx="2">
                  <c:v>Age 16-18</c:v>
                </c:pt>
                <c:pt idx="3">
                  <c:v>Age 19-25</c:v>
                </c:pt>
              </c:strCache>
            </c:strRef>
          </c:cat>
          <c:val>
            <c:numRef>
              <c:f>'Number of Students'!$C$7:$C$10</c:f>
              <c:numCache>
                <c:formatCode>#,##0_);\(#,##0\)</c:formatCode>
                <c:ptCount val="4"/>
                <c:pt idx="0">
                  <c:v>85854</c:v>
                </c:pt>
                <c:pt idx="1">
                  <c:v>92991</c:v>
                </c:pt>
                <c:pt idx="2">
                  <c:v>79668</c:v>
                </c:pt>
                <c:pt idx="3">
                  <c:v>91968</c:v>
                </c:pt>
              </c:numCache>
            </c:numRef>
          </c:val>
        </c:ser>
        <c:ser>
          <c:idx val="1"/>
          <c:order val="1"/>
          <c:tx>
            <c:strRef>
              <c:f>'Number of Students'!$D$6</c:f>
              <c:strCache>
                <c:ptCount val="1"/>
                <c:pt idx="0">
                  <c:v>Recife, Brazil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'Number of Students'!$B$7:$B$10</c:f>
              <c:strCache>
                <c:ptCount val="4"/>
                <c:pt idx="0">
                  <c:v>Age 6-10</c:v>
                </c:pt>
                <c:pt idx="1">
                  <c:v>Age 11-15</c:v>
                </c:pt>
                <c:pt idx="2">
                  <c:v>Age 16-18</c:v>
                </c:pt>
                <c:pt idx="3">
                  <c:v>Age 19-25</c:v>
                </c:pt>
              </c:strCache>
            </c:strRef>
          </c:cat>
          <c:val>
            <c:numRef>
              <c:f>'Number of Students'!$D$7:$D$10</c:f>
              <c:numCache>
                <c:formatCode>#,##0</c:formatCode>
                <c:ptCount val="4"/>
                <c:pt idx="0">
                  <c:v>151209</c:v>
                </c:pt>
                <c:pt idx="1">
                  <c:v>155481</c:v>
                </c:pt>
                <c:pt idx="2">
                  <c:v>164279</c:v>
                </c:pt>
                <c:pt idx="3">
                  <c:v>240341</c:v>
                </c:pt>
              </c:numCache>
            </c:numRef>
          </c:val>
        </c:ser>
        <c:ser>
          <c:idx val="2"/>
          <c:order val="2"/>
          <c:tx>
            <c:strRef>
              <c:f>'Number of Students'!$E$6</c:f>
              <c:strCache>
                <c:ptCount val="1"/>
                <c:pt idx="0">
                  <c:v>Velencia, Spain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'Number of Students'!$B$7:$B$10</c:f>
              <c:strCache>
                <c:ptCount val="4"/>
                <c:pt idx="0">
                  <c:v>Age 6-10</c:v>
                </c:pt>
                <c:pt idx="1">
                  <c:v>Age 11-15</c:v>
                </c:pt>
                <c:pt idx="2">
                  <c:v>Age 16-18</c:v>
                </c:pt>
                <c:pt idx="3">
                  <c:v>Age 19-25</c:v>
                </c:pt>
              </c:strCache>
            </c:strRef>
          </c:cat>
          <c:val>
            <c:numRef>
              <c:f>'Number of Students'!$E$7:$E$10</c:f>
              <c:numCache>
                <c:formatCode>#,##0</c:formatCode>
                <c:ptCount val="4"/>
                <c:pt idx="0">
                  <c:v>25798</c:v>
                </c:pt>
                <c:pt idx="1">
                  <c:v>26130</c:v>
                </c:pt>
                <c:pt idx="2">
                  <c:v>19645</c:v>
                </c:pt>
                <c:pt idx="3">
                  <c:v>53443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9274296"/>
        <c:axId val="469268808"/>
      </c:barChart>
      <c:catAx>
        <c:axId val="469274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9268808"/>
        <c:crosses val="autoZero"/>
        <c:auto val="1"/>
        <c:lblAlgn val="ctr"/>
        <c:lblOffset val="100"/>
        <c:noMultiLvlLbl val="0"/>
      </c:catAx>
      <c:valAx>
        <c:axId val="469268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9274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Age Groups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'Number of Students'!$B$7</c:f>
              <c:strCache>
                <c:ptCount val="1"/>
                <c:pt idx="0">
                  <c:v>Age 6-10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'Number of Students'!$C$6:$F$6</c:f>
              <c:strCache>
                <c:ptCount val="4"/>
                <c:pt idx="0">
                  <c:v>Kampala, Uganda</c:v>
                </c:pt>
                <c:pt idx="1">
                  <c:v>Recife, Brazil</c:v>
                </c:pt>
                <c:pt idx="2">
                  <c:v>Velencia, Spain</c:v>
                </c:pt>
                <c:pt idx="3">
                  <c:v>Bergen, Norway</c:v>
                </c:pt>
              </c:strCache>
            </c:strRef>
          </c:cat>
          <c:val>
            <c:numRef>
              <c:f>'Number of Students'!$C$7:$F$7</c:f>
              <c:numCache>
                <c:formatCode>#,##0_);\(#,##0\)</c:formatCode>
                <c:ptCount val="4"/>
                <c:pt idx="0">
                  <c:v>85854</c:v>
                </c:pt>
                <c:pt idx="1" c:formatCode="#,##0">
                  <c:v>151209</c:v>
                </c:pt>
                <c:pt idx="2" c:formatCode="#,##0">
                  <c:v>25798</c:v>
                </c:pt>
                <c:pt idx="3" c:formatCode="#,##0">
                  <c:v>74126</c:v>
                </c:pt>
              </c:numCache>
            </c:numRef>
          </c:val>
        </c:ser>
        <c:ser>
          <c:idx val="1"/>
          <c:order val="1"/>
          <c:tx>
            <c:strRef>
              <c:f>'Number of Students'!$B$8</c:f>
              <c:strCache>
                <c:ptCount val="1"/>
                <c:pt idx="0">
                  <c:v>Age 11-15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'Number of Students'!$C$6:$F$6</c:f>
              <c:strCache>
                <c:ptCount val="4"/>
                <c:pt idx="0">
                  <c:v>Kampala, Uganda</c:v>
                </c:pt>
                <c:pt idx="1">
                  <c:v>Recife, Brazil</c:v>
                </c:pt>
                <c:pt idx="2">
                  <c:v>Velencia, Spain</c:v>
                </c:pt>
                <c:pt idx="3">
                  <c:v>Bergen, Norway</c:v>
                </c:pt>
              </c:strCache>
            </c:strRef>
          </c:cat>
          <c:val>
            <c:numRef>
              <c:f>'Number of Students'!$C$8:$F$8</c:f>
              <c:numCache>
                <c:formatCode>#,##0_);\(#,##0\)</c:formatCode>
                <c:ptCount val="4"/>
                <c:pt idx="0">
                  <c:v>92991</c:v>
                </c:pt>
                <c:pt idx="1" c:formatCode="#,##0">
                  <c:v>155481</c:v>
                </c:pt>
                <c:pt idx="2" c:formatCode="#,##0">
                  <c:v>26130</c:v>
                </c:pt>
                <c:pt idx="3" c:formatCode="#,##0">
                  <c:v>76583</c:v>
                </c:pt>
              </c:numCache>
            </c:numRef>
          </c:val>
        </c:ser>
        <c:ser>
          <c:idx val="2"/>
          <c:order val="2"/>
          <c:tx>
            <c:strRef>
              <c:f>'Number of Students'!$B$9</c:f>
              <c:strCache>
                <c:ptCount val="1"/>
                <c:pt idx="0">
                  <c:v>Age 16-18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'Number of Students'!$C$6:$F$6</c:f>
              <c:strCache>
                <c:ptCount val="4"/>
                <c:pt idx="0">
                  <c:v>Kampala, Uganda</c:v>
                </c:pt>
                <c:pt idx="1">
                  <c:v>Recife, Brazil</c:v>
                </c:pt>
                <c:pt idx="2">
                  <c:v>Velencia, Spain</c:v>
                </c:pt>
                <c:pt idx="3">
                  <c:v>Bergen, Norway</c:v>
                </c:pt>
              </c:strCache>
            </c:strRef>
          </c:cat>
          <c:val>
            <c:numRef>
              <c:f>'Number of Students'!$C$9:$F$9</c:f>
              <c:numCache>
                <c:formatCode>#,##0_);\(#,##0\)</c:formatCode>
                <c:ptCount val="4"/>
                <c:pt idx="0">
                  <c:v>79668</c:v>
                </c:pt>
                <c:pt idx="1" c:formatCode="#,##0">
                  <c:v>164279</c:v>
                </c:pt>
                <c:pt idx="2" c:formatCode="#,##0">
                  <c:v>19645</c:v>
                </c:pt>
                <c:pt idx="3" c:formatCode="#,##0">
                  <c:v>76014</c:v>
                </c:pt>
              </c:numCache>
            </c:numRef>
          </c:val>
        </c:ser>
        <c:ser>
          <c:idx val="3"/>
          <c:order val="3"/>
          <c:tx>
            <c:strRef>
              <c:f>'Number of Students'!$B$10</c:f>
              <c:strCache>
                <c:ptCount val="1"/>
                <c:pt idx="0">
                  <c:v>Age 19-25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'Number of Students'!$C$6:$F$6</c:f>
              <c:strCache>
                <c:ptCount val="4"/>
                <c:pt idx="0">
                  <c:v>Kampala, Uganda</c:v>
                </c:pt>
                <c:pt idx="1">
                  <c:v>Recife, Brazil</c:v>
                </c:pt>
                <c:pt idx="2">
                  <c:v>Velencia, Spain</c:v>
                </c:pt>
                <c:pt idx="3">
                  <c:v>Bergen, Norway</c:v>
                </c:pt>
              </c:strCache>
            </c:strRef>
          </c:cat>
          <c:val>
            <c:numRef>
              <c:f>'Number of Students'!$C$10:$F$10</c:f>
              <c:numCache>
                <c:formatCode>#,##0_);\(#,##0\)</c:formatCode>
                <c:ptCount val="4"/>
                <c:pt idx="0">
                  <c:v>91968</c:v>
                </c:pt>
                <c:pt idx="1" c:formatCode="#,##0">
                  <c:v>240341</c:v>
                </c:pt>
                <c:pt idx="2" c:formatCode="#,##0">
                  <c:v>53443</c:v>
                </c:pt>
                <c:pt idx="3" c:formatCode="#,##0">
                  <c:v>67451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0"/>
        <c:axId val="734707482"/>
        <c:axId val="617776432"/>
      </c:barChart>
      <c:catAx>
        <c:axId val="7347074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7776432"/>
        <c:crosses val="autoZero"/>
        <c:auto val="1"/>
        <c:lblAlgn val="ctr"/>
        <c:lblOffset val="100"/>
        <c:noMultiLvlLbl val="0"/>
      </c:catAx>
      <c:valAx>
        <c:axId val="61777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47074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t>Anual Sales by Age Group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Age'!$C$5</c:f>
              <c:strCache>
                <c:ptCount val="1"/>
                <c:pt idx="0">
                  <c:v>Average Annual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Age'!$B$6:$B$10</c:f>
              <c:strCache>
                <c:ptCount val="5"/>
                <c:pt idx="0">
                  <c:v>Age 6-10</c:v>
                </c:pt>
                <c:pt idx="1">
                  <c:v>Age 11-15</c:v>
                </c:pt>
                <c:pt idx="2">
                  <c:v>Age 16-18</c:v>
                </c:pt>
                <c:pt idx="3">
                  <c:v>Age 19-25</c:v>
                </c:pt>
                <c:pt idx="4">
                  <c:v>Age 25+</c:v>
                </c:pt>
              </c:strCache>
            </c:strRef>
          </c:cat>
          <c:val>
            <c:numRef>
              <c:f>'Sales by Age'!$C$6:$C$10</c:f>
              <c:numCache>
                <c:formatCode>_("$"* #,##0_);_("$"* \(#,##0\);_("$"* "-"??_);_(@_)</c:formatCode>
                <c:ptCount val="5"/>
                <c:pt idx="0">
                  <c:v>85204</c:v>
                </c:pt>
                <c:pt idx="1">
                  <c:v>115229</c:v>
                </c:pt>
                <c:pt idx="2">
                  <c:v>955820</c:v>
                </c:pt>
                <c:pt idx="3">
                  <c:v>401517</c:v>
                </c:pt>
                <c:pt idx="4">
                  <c:v>107301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0"/>
        </c:dLbls>
        <c:gapWidth val="150"/>
        <c:overlap val="0"/>
        <c:axId val="879376093"/>
        <c:axId val="823852435"/>
      </c:barChart>
      <c:catAx>
        <c:axId val="87937609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3852435"/>
        <c:crosses val="autoZero"/>
        <c:auto val="1"/>
        <c:lblAlgn val="ctr"/>
        <c:lblOffset val="100"/>
        <c:noMultiLvlLbl val="0"/>
      </c:catAx>
      <c:valAx>
        <c:axId val="8238524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937609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t>Average Anual Sales &amp; Distance from Stadium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'Sales and Distance from Stadium'!$B$2</c:f>
              <c:strCache>
                <c:ptCount val="1"/>
                <c:pt idx="0">
                  <c:v>Sales &amp; Distance from Stadium</c:v>
                </c:pt>
              </c:strCache>
            </c:strRef>
          </c:tx>
          <c:spPr>
            <a:ln w="1905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xVal>
            <c:numRef>
              <c:f>'Sales and Distance from Stadium'!$C$16:$C$21</c:f>
              <c:numCache>
                <c:formatCode>General</c:formatCode>
                <c:ptCount val="6"/>
                <c:pt idx="0">
                  <c:v>3.8</c:v>
                </c:pt>
                <c:pt idx="1">
                  <c:v>1.4</c:v>
                </c:pt>
                <c:pt idx="2">
                  <c:v>4.3</c:v>
                </c:pt>
                <c:pt idx="3">
                  <c:v>2.2</c:v>
                </c:pt>
                <c:pt idx="4">
                  <c:v>3.6</c:v>
                </c:pt>
                <c:pt idx="5">
                  <c:v>3.5</c:v>
                </c:pt>
              </c:numCache>
            </c:numRef>
          </c:xVal>
          <c:yVal>
            <c:numRef>
              <c:f>'Sales and Distance from Stadium'!$D$16:$D$21</c:f>
              <c:numCache>
                <c:formatCode>_("$"* #,##0_);_("$"* \(#,##0\);_("$"* "-"??_);_(@_)</c:formatCode>
                <c:ptCount val="6"/>
                <c:pt idx="0">
                  <c:v>233152</c:v>
                </c:pt>
                <c:pt idx="1">
                  <c:v>301530.75</c:v>
                </c:pt>
                <c:pt idx="2">
                  <c:v>225314.75</c:v>
                </c:pt>
                <c:pt idx="3">
                  <c:v>280164.333333333</c:v>
                </c:pt>
                <c:pt idx="4">
                  <c:v>214330</c:v>
                </c:pt>
                <c:pt idx="5">
                  <c:v>244142.5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985338"/>
        <c:axId val="196342856"/>
      </c:scatterChart>
      <c:valAx>
        <c:axId val="41998533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6342856"/>
        <c:crosses val="autoZero"/>
        <c:crossBetween val="midCat"/>
      </c:valAx>
      <c:valAx>
        <c:axId val="19634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998533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'Average Monthly Sales'!$D$5</c:f>
              <c:strCache>
                <c:ptCount val="1"/>
                <c:pt idx="0">
                  <c:v>Average Monthly Sales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'Average Monthly Sales'!$B$6:$B$17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'Average Monthly Sales'!$D$6:$D$17</c:f>
              <c:numCache>
                <c:formatCode>_("$"* #,##0_);_("$"* \(#,##0\);_("$"* "-"??_);_(@_)</c:formatCode>
                <c:ptCount val="12"/>
                <c:pt idx="0">
                  <c:v>54345</c:v>
                </c:pt>
                <c:pt idx="1">
                  <c:v>67321</c:v>
                </c:pt>
                <c:pt idx="2">
                  <c:v>86911</c:v>
                </c:pt>
                <c:pt idx="3">
                  <c:v>105222</c:v>
                </c:pt>
                <c:pt idx="4">
                  <c:v>110315</c:v>
                </c:pt>
                <c:pt idx="5">
                  <c:v>133153</c:v>
                </c:pt>
                <c:pt idx="6">
                  <c:v>156213</c:v>
                </c:pt>
                <c:pt idx="7">
                  <c:v>168158</c:v>
                </c:pt>
                <c:pt idx="8">
                  <c:v>135859</c:v>
                </c:pt>
                <c:pt idx="9">
                  <c:v>93628</c:v>
                </c:pt>
                <c:pt idx="10">
                  <c:v>80636</c:v>
                </c:pt>
                <c:pt idx="11">
                  <c:v>126231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4279848"/>
        <c:axId val="574493189"/>
      </c:lineChart>
      <c:catAx>
        <c:axId val="7442798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4493189"/>
        <c:crosses val="autoZero"/>
        <c:auto val="1"/>
        <c:lblAlgn val="ctr"/>
        <c:lblOffset val="100"/>
        <c:noMultiLvlLbl val="0"/>
      </c:catAx>
      <c:valAx>
        <c:axId val="5744931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4279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7</xdr:col>
      <xdr:colOff>0</xdr:colOff>
      <xdr:row>3</xdr:row>
      <xdr:rowOff>6350</xdr:rowOff>
    </xdr:from>
    <xdr:to>
      <xdr:col>13</xdr:col>
      <xdr:colOff>12700</xdr:colOff>
      <xdr:row>16</xdr:row>
      <xdr:rowOff>177800</xdr:rowOff>
    </xdr:to>
    <xdr:graphicFrame>
      <xdr:nvGraphicFramePr>
        <xdr:cNvPr id="2" name="Chart 1"/>
        <xdr:cNvGraphicFramePr/>
      </xdr:nvGraphicFramePr>
      <xdr:xfrm>
        <a:off x="5638800" y="704850"/>
        <a:ext cx="4991100" cy="2990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6350</xdr:colOff>
      <xdr:row>19</xdr:row>
      <xdr:rowOff>161925</xdr:rowOff>
    </xdr:from>
    <xdr:to>
      <xdr:col>13</xdr:col>
      <xdr:colOff>0</xdr:colOff>
      <xdr:row>29</xdr:row>
      <xdr:rowOff>200660</xdr:rowOff>
    </xdr:to>
    <xdr:graphicFrame>
      <xdr:nvGraphicFramePr>
        <xdr:cNvPr id="3" name="Chart 2"/>
        <xdr:cNvGraphicFramePr/>
      </xdr:nvGraphicFramePr>
      <xdr:xfrm>
        <a:off x="5645150" y="4289425"/>
        <a:ext cx="4972050" cy="2054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15875</xdr:colOff>
      <xdr:row>3</xdr:row>
      <xdr:rowOff>200025</xdr:rowOff>
    </xdr:from>
    <xdr:to>
      <xdr:col>10</xdr:col>
      <xdr:colOff>24765</xdr:colOff>
      <xdr:row>14</xdr:row>
      <xdr:rowOff>35560</xdr:rowOff>
    </xdr:to>
    <xdr:graphicFrame>
      <xdr:nvGraphicFramePr>
        <xdr:cNvPr id="2" name="Chart 1"/>
        <xdr:cNvGraphicFramePr/>
      </xdr:nvGraphicFramePr>
      <xdr:xfrm>
        <a:off x="3787775" y="898525"/>
        <a:ext cx="4961890" cy="2070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28575</xdr:colOff>
      <xdr:row>13</xdr:row>
      <xdr:rowOff>190500</xdr:rowOff>
    </xdr:from>
    <xdr:to>
      <xdr:col>11</xdr:col>
      <xdr:colOff>21590</xdr:colOff>
      <xdr:row>23</xdr:row>
      <xdr:rowOff>187960</xdr:rowOff>
    </xdr:to>
    <xdr:graphicFrame>
      <xdr:nvGraphicFramePr>
        <xdr:cNvPr id="2" name="Chart 1"/>
        <xdr:cNvGraphicFramePr/>
      </xdr:nvGraphicFramePr>
      <xdr:xfrm>
        <a:off x="5591175" y="2921000"/>
        <a:ext cx="5631815" cy="2232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15875</xdr:colOff>
      <xdr:row>4</xdr:row>
      <xdr:rowOff>6350</xdr:rowOff>
    </xdr:from>
    <xdr:to>
      <xdr:col>11</xdr:col>
      <xdr:colOff>0</xdr:colOff>
      <xdr:row>14</xdr:row>
      <xdr:rowOff>53975</xdr:rowOff>
    </xdr:to>
    <xdr:graphicFrame>
      <xdr:nvGraphicFramePr>
        <xdr:cNvPr id="2" name="Chart 1"/>
        <xdr:cNvGraphicFramePr/>
      </xdr:nvGraphicFramePr>
      <xdr:xfrm>
        <a:off x="5108575" y="908050"/>
        <a:ext cx="4937125" cy="2270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36"/>
  <sheetViews>
    <sheetView workbookViewId="0">
      <selection activeCell="D6" sqref="D6"/>
    </sheetView>
  </sheetViews>
  <sheetFormatPr defaultColWidth="11" defaultRowHeight="15.75"/>
  <cols>
    <col min="1" max="1" width="3.16666666666667" style="27" customWidth="1"/>
    <col min="2" max="2" width="13.5" style="27" customWidth="1"/>
    <col min="3" max="3" width="13.8333333333333" style="27" customWidth="1"/>
    <col min="4" max="4" width="11" style="27"/>
    <col min="5" max="5" width="10.8333333333333" style="27" customWidth="1"/>
    <col min="6" max="6" width="10.8333333333333" style="28"/>
    <col min="7" max="7" width="10.8333333333333" style="29" customWidth="1"/>
    <col min="8" max="8" width="10.8333333333333" style="30" customWidth="1"/>
    <col min="9" max="9" width="10.8333333333333" style="30"/>
    <col min="10" max="11" width="10.8333333333333" style="30" customWidth="1"/>
    <col min="12" max="16384" width="11" style="27"/>
  </cols>
  <sheetData>
    <row r="2" ht="23.25" spans="2:2">
      <c r="B2" s="31" t="s">
        <v>0</v>
      </c>
    </row>
    <row r="3" ht="16" customHeight="1"/>
    <row r="4" ht="16" customHeight="1" spans="2:11">
      <c r="B4" s="32" t="s">
        <v>1</v>
      </c>
      <c r="F4" s="27"/>
      <c r="G4" s="27"/>
      <c r="H4" s="27"/>
      <c r="I4" s="27"/>
      <c r="J4" s="27"/>
      <c r="K4" s="27"/>
    </row>
    <row r="5" ht="16" customHeight="1" spans="2:11">
      <c r="B5" s="33"/>
      <c r="C5" s="34" t="s">
        <v>2</v>
      </c>
      <c r="D5" s="35"/>
      <c r="E5" s="35"/>
      <c r="F5" s="40"/>
      <c r="G5" s="27"/>
      <c r="H5" s="27"/>
      <c r="I5" s="27"/>
      <c r="J5" s="27"/>
      <c r="K5" s="27"/>
    </row>
    <row r="6" ht="30" customHeight="1" spans="2:11">
      <c r="B6" s="33"/>
      <c r="C6" s="36" t="s">
        <v>3</v>
      </c>
      <c r="D6" s="36" t="s">
        <v>4</v>
      </c>
      <c r="E6" s="36" t="s">
        <v>5</v>
      </c>
      <c r="F6" s="36" t="s">
        <v>6</v>
      </c>
      <c r="G6" s="27"/>
      <c r="H6" s="27"/>
      <c r="I6" s="27"/>
      <c r="J6" s="27"/>
      <c r="K6" s="27"/>
    </row>
    <row r="7" ht="16" customHeight="1" spans="2:11">
      <c r="B7" s="33" t="s">
        <v>7</v>
      </c>
      <c r="C7" s="37">
        <v>85854</v>
      </c>
      <c r="D7" s="38">
        <v>151209</v>
      </c>
      <c r="E7" s="38">
        <v>25798</v>
      </c>
      <c r="F7" s="41">
        <v>74126</v>
      </c>
      <c r="G7" s="27"/>
      <c r="H7" s="27"/>
      <c r="I7" s="27"/>
      <c r="J7" s="27"/>
      <c r="K7" s="27"/>
    </row>
    <row r="8" ht="16" customHeight="1" spans="2:11">
      <c r="B8" s="33" t="s">
        <v>8</v>
      </c>
      <c r="C8" s="37">
        <v>92991</v>
      </c>
      <c r="D8" s="38">
        <v>155481</v>
      </c>
      <c r="E8" s="38">
        <v>26130</v>
      </c>
      <c r="F8" s="41">
        <v>76583</v>
      </c>
      <c r="G8" s="27"/>
      <c r="H8" s="27"/>
      <c r="I8" s="27"/>
      <c r="J8" s="27"/>
      <c r="K8" s="27"/>
    </row>
    <row r="9" ht="16" customHeight="1" spans="2:11">
      <c r="B9" s="33" t="s">
        <v>9</v>
      </c>
      <c r="C9" s="37">
        <v>79668</v>
      </c>
      <c r="D9" s="38">
        <v>164279</v>
      </c>
      <c r="E9" s="38">
        <v>19645</v>
      </c>
      <c r="F9" s="41">
        <v>76014</v>
      </c>
      <c r="G9" s="27"/>
      <c r="H9" s="27"/>
      <c r="I9" s="27"/>
      <c r="J9" s="27"/>
      <c r="K9" s="27"/>
    </row>
    <row r="10" ht="16" customHeight="1" spans="2:11">
      <c r="B10" s="33" t="s">
        <v>10</v>
      </c>
      <c r="C10" s="37">
        <v>91968</v>
      </c>
      <c r="D10" s="38">
        <v>240341</v>
      </c>
      <c r="E10" s="38">
        <v>53443</v>
      </c>
      <c r="F10" s="41">
        <v>67451</v>
      </c>
      <c r="G10" s="27"/>
      <c r="H10" s="27"/>
      <c r="I10" s="27"/>
      <c r="J10" s="27"/>
      <c r="K10" s="27"/>
    </row>
    <row r="11" ht="16" customHeight="1" spans="6:11">
      <c r="F11" s="27"/>
      <c r="G11" s="27"/>
      <c r="H11" s="27"/>
      <c r="I11" s="27"/>
      <c r="J11" s="27"/>
      <c r="K11" s="27"/>
    </row>
    <row r="12" ht="16" customHeight="1" spans="6:11">
      <c r="F12" s="27"/>
      <c r="G12" s="27"/>
      <c r="H12" s="27"/>
      <c r="I12" s="27"/>
      <c r="J12" s="27"/>
      <c r="K12" s="27"/>
    </row>
    <row r="13" ht="16" customHeight="1" spans="6:11">
      <c r="F13" s="27"/>
      <c r="G13" s="27"/>
      <c r="H13" s="27"/>
      <c r="I13" s="27"/>
      <c r="J13" s="27"/>
      <c r="K13" s="27"/>
    </row>
    <row r="14" ht="16" customHeight="1" spans="6:11">
      <c r="F14" s="27"/>
      <c r="G14" s="27"/>
      <c r="H14" s="27"/>
      <c r="I14" s="27"/>
      <c r="J14" s="27"/>
      <c r="K14" s="27"/>
    </row>
    <row r="15" ht="16" customHeight="1" spans="3:11">
      <c r="C15" s="39"/>
      <c r="F15" s="27"/>
      <c r="G15" s="27"/>
      <c r="H15" s="27"/>
      <c r="I15" s="27"/>
      <c r="J15" s="27"/>
      <c r="K15" s="27"/>
    </row>
    <row r="16" ht="16" customHeight="1" spans="3:11">
      <c r="C16" s="39"/>
      <c r="F16" s="27"/>
      <c r="G16" s="27"/>
      <c r="H16" s="27"/>
      <c r="I16" s="27"/>
      <c r="J16" s="27"/>
      <c r="K16" s="27"/>
    </row>
    <row r="17" ht="16" customHeight="1" spans="3:11">
      <c r="C17" s="39"/>
      <c r="F17" s="27"/>
      <c r="G17" s="27"/>
      <c r="H17" s="27"/>
      <c r="I17" s="27"/>
      <c r="J17" s="27"/>
      <c r="K17" s="27"/>
    </row>
    <row r="18" ht="16" customHeight="1" spans="3:11">
      <c r="C18" s="39"/>
      <c r="F18" s="27"/>
      <c r="G18" s="27"/>
      <c r="H18" s="27"/>
      <c r="I18" s="27"/>
      <c r="J18" s="27"/>
      <c r="K18" s="27"/>
    </row>
    <row r="19" ht="16" customHeight="1" spans="6:11">
      <c r="F19" s="27"/>
      <c r="G19" s="27"/>
      <c r="H19" s="27"/>
      <c r="I19" s="27"/>
      <c r="J19" s="27"/>
      <c r="K19" s="27"/>
    </row>
    <row r="20" ht="16" customHeight="1" spans="6:11">
      <c r="F20" s="27"/>
      <c r="G20" s="27"/>
      <c r="H20" s="27"/>
      <c r="I20" s="27"/>
      <c r="J20" s="27"/>
      <c r="K20" s="27"/>
    </row>
    <row r="21" ht="16" customHeight="1" spans="6:13">
      <c r="F21" s="27"/>
      <c r="G21" s="27"/>
      <c r="H21" s="42"/>
      <c r="I21" s="42"/>
      <c r="J21" s="42"/>
      <c r="K21" s="42"/>
      <c r="L21" s="42"/>
      <c r="M21" s="42"/>
    </row>
    <row r="22" ht="16" customHeight="1" spans="6:13">
      <c r="F22" s="27"/>
      <c r="G22" s="27"/>
      <c r="H22" s="42"/>
      <c r="I22" s="42"/>
      <c r="J22" s="42"/>
      <c r="K22" s="42"/>
      <c r="L22" s="42"/>
      <c r="M22" s="42"/>
    </row>
    <row r="23" ht="16" customHeight="1" spans="6:13">
      <c r="F23" s="27"/>
      <c r="G23" s="27"/>
      <c r="H23" s="42"/>
      <c r="I23" s="42"/>
      <c r="J23" s="42"/>
      <c r="K23" s="42"/>
      <c r="L23" s="42"/>
      <c r="M23" s="42"/>
    </row>
    <row r="24" ht="16" customHeight="1" spans="6:13">
      <c r="F24" s="27"/>
      <c r="G24" s="27"/>
      <c r="H24" s="42"/>
      <c r="I24" s="42"/>
      <c r="J24" s="42"/>
      <c r="K24" s="42"/>
      <c r="L24" s="42"/>
      <c r="M24" s="42"/>
    </row>
    <row r="25" spans="6:13">
      <c r="F25" s="27"/>
      <c r="G25" s="27"/>
      <c r="H25" s="43" t="s">
        <v>11</v>
      </c>
      <c r="I25" s="43"/>
      <c r="J25" s="43"/>
      <c r="K25" s="43"/>
      <c r="L25" s="43"/>
      <c r="M25" s="43"/>
    </row>
    <row r="26" spans="6:13">
      <c r="F26" s="27"/>
      <c r="G26" s="27"/>
      <c r="H26" s="42"/>
      <c r="I26" s="42"/>
      <c r="J26" s="42"/>
      <c r="K26" s="42"/>
      <c r="L26" s="42"/>
      <c r="M26" s="42"/>
    </row>
    <row r="27" spans="6:13">
      <c r="F27" s="27"/>
      <c r="G27" s="27"/>
      <c r="H27" s="42"/>
      <c r="I27" s="42"/>
      <c r="J27" s="42"/>
      <c r="K27" s="42"/>
      <c r="L27" s="42"/>
      <c r="M27" s="42"/>
    </row>
    <row r="28" spans="6:13">
      <c r="F28" s="27"/>
      <c r="G28" s="27"/>
      <c r="H28" s="42"/>
      <c r="I28" s="42"/>
      <c r="J28" s="42"/>
      <c r="K28" s="42"/>
      <c r="L28" s="42"/>
      <c r="M28" s="42"/>
    </row>
    <row r="29" spans="6:13">
      <c r="F29" s="27"/>
      <c r="G29" s="27"/>
      <c r="H29" s="42"/>
      <c r="I29" s="42"/>
      <c r="J29" s="42"/>
      <c r="K29" s="42"/>
      <c r="L29" s="42"/>
      <c r="M29" s="42"/>
    </row>
    <row r="30" spans="6:13">
      <c r="F30" s="27"/>
      <c r="G30" s="27"/>
      <c r="H30" s="42"/>
      <c r="I30" s="42"/>
      <c r="J30" s="42"/>
      <c r="K30" s="42"/>
      <c r="L30" s="42"/>
      <c r="M30" s="42"/>
    </row>
    <row r="31" spans="6:11">
      <c r="F31" s="27"/>
      <c r="G31" s="27"/>
      <c r="H31" s="27"/>
      <c r="I31" s="27"/>
      <c r="J31" s="27"/>
      <c r="K31" s="27"/>
    </row>
    <row r="32" spans="6:11">
      <c r="F32" s="27"/>
      <c r="G32" s="27"/>
      <c r="H32" s="27"/>
      <c r="I32" s="27"/>
      <c r="J32" s="27"/>
      <c r="K32" s="27"/>
    </row>
    <row r="33" s="27" customFormat="1"/>
    <row r="34" s="27" customFormat="1"/>
    <row r="35" s="27" customFormat="1"/>
    <row r="36" s="27" customFormat="1"/>
  </sheetData>
  <sheetProtection selectLockedCells="1" sort="0" autoFilter="0"/>
  <mergeCells count="2">
    <mergeCell ref="C5:F5"/>
    <mergeCell ref="H25:M2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6"/>
  <sheetViews>
    <sheetView zoomScale="130" zoomScaleNormal="130" workbookViewId="0">
      <selection activeCell="B8" sqref="B8"/>
    </sheetView>
  </sheetViews>
  <sheetFormatPr defaultColWidth="11" defaultRowHeight="15.75"/>
  <cols>
    <col min="1" max="1" width="3.16666666666667" customWidth="1"/>
    <col min="2" max="2" width="17.1666666666667" customWidth="1"/>
    <col min="3" max="3" width="18.1666666666667" customWidth="1"/>
    <col min="5" max="5" width="10.8333333333333" customWidth="1"/>
    <col min="6" max="6" width="10.8333333333333" style="2"/>
    <col min="7" max="7" width="10.8333333333333" style="3" customWidth="1"/>
    <col min="8" max="8" width="10.8333333333333" style="4" customWidth="1"/>
    <col min="9" max="9" width="10.8333333333333" style="4"/>
    <col min="10" max="11" width="10.8333333333333" style="4" customWidth="1"/>
  </cols>
  <sheetData>
    <row r="2" ht="23.25" spans="2:2">
      <c r="B2" s="5" t="s">
        <v>12</v>
      </c>
    </row>
    <row r="3" ht="16" customHeight="1"/>
    <row r="4" ht="16" customHeight="1" spans="2:11">
      <c r="B4" s="6" t="s">
        <v>13</v>
      </c>
      <c r="F4"/>
      <c r="G4"/>
      <c r="H4"/>
      <c r="I4"/>
      <c r="J4"/>
      <c r="K4"/>
    </row>
    <row r="5" ht="16" customHeight="1" spans="2:11">
      <c r="B5" s="13"/>
      <c r="C5" s="7" t="s">
        <v>14</v>
      </c>
      <c r="E5" s="11"/>
      <c r="F5" s="11"/>
      <c r="G5" s="11"/>
      <c r="H5" s="11"/>
      <c r="I5" s="11"/>
      <c r="J5" s="11"/>
      <c r="K5"/>
    </row>
    <row r="6" ht="16" customHeight="1" spans="2:11">
      <c r="B6" s="13" t="s">
        <v>7</v>
      </c>
      <c r="C6" s="14">
        <v>85204</v>
      </c>
      <c r="E6" s="11"/>
      <c r="F6" s="11"/>
      <c r="G6" s="11"/>
      <c r="H6" s="11"/>
      <c r="I6" s="11"/>
      <c r="J6" s="11"/>
      <c r="K6"/>
    </row>
    <row r="7" ht="16" customHeight="1" spans="2:11">
      <c r="B7" s="13" t="s">
        <v>8</v>
      </c>
      <c r="C7" s="14">
        <v>115229</v>
      </c>
      <c r="E7" s="11"/>
      <c r="F7" s="11"/>
      <c r="G7" s="11"/>
      <c r="H7" s="11"/>
      <c r="I7" s="11"/>
      <c r="J7" s="11"/>
      <c r="K7"/>
    </row>
    <row r="8" ht="16" customHeight="1" spans="2:11">
      <c r="B8" s="13" t="s">
        <v>9</v>
      </c>
      <c r="C8" s="14">
        <v>955820</v>
      </c>
      <c r="E8" s="11"/>
      <c r="F8" s="11"/>
      <c r="G8" s="11"/>
      <c r="H8" s="11"/>
      <c r="I8" s="11"/>
      <c r="J8" s="11"/>
      <c r="K8"/>
    </row>
    <row r="9" ht="16" customHeight="1" spans="2:11">
      <c r="B9" s="13" t="s">
        <v>10</v>
      </c>
      <c r="C9" s="14">
        <v>401517</v>
      </c>
      <c r="E9" s="12" t="s">
        <v>15</v>
      </c>
      <c r="F9" s="12"/>
      <c r="G9" s="12"/>
      <c r="H9" s="12"/>
      <c r="I9" s="12"/>
      <c r="J9" s="12"/>
      <c r="K9"/>
    </row>
    <row r="10" ht="16" customHeight="1" spans="2:11">
      <c r="B10" s="13" t="s">
        <v>16</v>
      </c>
      <c r="C10" s="10">
        <v>107301</v>
      </c>
      <c r="E10" s="11"/>
      <c r="F10" s="11"/>
      <c r="G10" s="11"/>
      <c r="H10" s="11"/>
      <c r="I10" s="11"/>
      <c r="J10" s="11"/>
      <c r="K10"/>
    </row>
    <row r="11" ht="16" customHeight="1" spans="5:11">
      <c r="E11" s="11"/>
      <c r="F11" s="11"/>
      <c r="G11" s="11"/>
      <c r="H11" s="11"/>
      <c r="I11" s="11"/>
      <c r="J11" s="11"/>
      <c r="K11"/>
    </row>
    <row r="12" ht="16" customHeight="1" spans="5:11">
      <c r="E12" s="11"/>
      <c r="F12" s="11"/>
      <c r="G12" s="11"/>
      <c r="H12" s="11"/>
      <c r="I12" s="11"/>
      <c r="J12" s="11"/>
      <c r="K12"/>
    </row>
    <row r="13" ht="16" customHeight="1" spans="5:11">
      <c r="E13" s="11"/>
      <c r="F13" s="11"/>
      <c r="G13" s="11"/>
      <c r="H13" s="11"/>
      <c r="I13" s="11"/>
      <c r="J13" s="11"/>
      <c r="K13"/>
    </row>
    <row r="14" ht="16" customHeight="1" spans="5:11">
      <c r="E14" s="11"/>
      <c r="F14" s="11"/>
      <c r="G14" s="11"/>
      <c r="H14" s="11"/>
      <c r="I14" s="11"/>
      <c r="J14" s="11"/>
      <c r="K14"/>
    </row>
    <row r="15" ht="16" customHeight="1" spans="6:11">
      <c r="F15"/>
      <c r="G15"/>
      <c r="H15"/>
      <c r="I15"/>
      <c r="J15"/>
      <c r="K15"/>
    </row>
    <row r="16" ht="16" customHeight="1" spans="6:11">
      <c r="F16"/>
      <c r="G16"/>
      <c r="H16"/>
      <c r="I16"/>
      <c r="J16"/>
      <c r="K16"/>
    </row>
    <row r="17" customFormat="1" ht="16" customHeight="1"/>
    <row r="18" customFormat="1" ht="16" customHeight="1"/>
    <row r="19" customFormat="1" ht="16" customHeight="1"/>
    <row r="20" customFormat="1" ht="16" customHeight="1"/>
    <row r="21" customFormat="1" ht="16" customHeight="1"/>
    <row r="22" customFormat="1" ht="16" customHeight="1"/>
    <row r="23" customFormat="1" ht="16" customHeight="1"/>
    <row r="24" customFormat="1" ht="16" customHeigh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</sheetData>
  <mergeCells count="1">
    <mergeCell ref="E9:J9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6"/>
  <sheetViews>
    <sheetView tabSelected="1" topLeftCell="A11" workbookViewId="0">
      <selection activeCell="K12" sqref="K12"/>
    </sheetView>
  </sheetViews>
  <sheetFormatPr defaultColWidth="11" defaultRowHeight="15.75"/>
  <cols>
    <col min="1" max="1" width="3.16666666666667" customWidth="1"/>
    <col min="2" max="2" width="28.3333333333333" customWidth="1"/>
    <col min="3" max="5" width="13.8333333333333" customWidth="1"/>
    <col min="6" max="6" width="13.8333333333333" style="2" customWidth="1"/>
    <col min="7" max="7" width="13.8333333333333" style="3" customWidth="1"/>
    <col min="8" max="8" width="13.8333333333333" style="4" customWidth="1"/>
    <col min="9" max="9" width="10.8333333333333" style="4"/>
    <col min="10" max="11" width="10.8333333333333" style="4" customWidth="1"/>
  </cols>
  <sheetData>
    <row r="2" ht="23.25" spans="2:2">
      <c r="B2" s="5" t="s">
        <v>17</v>
      </c>
    </row>
    <row r="3" ht="16" customHeight="1"/>
    <row r="4" ht="16" customHeight="1" spans="2:11">
      <c r="B4" s="6" t="s">
        <v>18</v>
      </c>
      <c r="F4"/>
      <c r="G4"/>
      <c r="H4"/>
      <c r="I4"/>
      <c r="J4"/>
      <c r="K4"/>
    </row>
    <row r="5" ht="16" customHeight="1" spans="2:8">
      <c r="B5" s="13"/>
      <c r="C5" s="7" t="s">
        <v>19</v>
      </c>
      <c r="D5" s="7" t="s">
        <v>20</v>
      </c>
      <c r="E5" s="7" t="s">
        <v>21</v>
      </c>
      <c r="F5" s="19" t="s">
        <v>22</v>
      </c>
      <c r="G5" s="8" t="s">
        <v>23</v>
      </c>
      <c r="H5" s="7" t="s">
        <v>24</v>
      </c>
    </row>
    <row r="6" ht="16" customHeight="1" spans="2:8">
      <c r="B6" s="7" t="s">
        <v>25</v>
      </c>
      <c r="C6" s="14">
        <v>217129</v>
      </c>
      <c r="D6" s="15"/>
      <c r="E6" s="15"/>
      <c r="F6" s="20"/>
      <c r="G6" s="21"/>
      <c r="H6" s="20"/>
    </row>
    <row r="7" ht="16" customHeight="1" spans="2:8">
      <c r="B7" s="7" t="s">
        <v>26</v>
      </c>
      <c r="C7" s="14">
        <v>257281</v>
      </c>
      <c r="D7" s="14">
        <v>312409</v>
      </c>
      <c r="E7" s="14">
        <v>185163</v>
      </c>
      <c r="F7" s="20"/>
      <c r="G7" s="21"/>
      <c r="H7" s="20"/>
    </row>
    <row r="8" ht="16" customHeight="1" spans="2:8">
      <c r="B8" s="7" t="s">
        <v>27</v>
      </c>
      <c r="C8" s="14">
        <v>232019</v>
      </c>
      <c r="D8" s="14">
        <v>308782</v>
      </c>
      <c r="E8" s="14">
        <v>192598</v>
      </c>
      <c r="F8" s="22">
        <v>279420</v>
      </c>
      <c r="G8" s="21"/>
      <c r="H8" s="20"/>
    </row>
    <row r="9" ht="16" customHeight="1" spans="2:8">
      <c r="B9" s="7" t="s">
        <v>28</v>
      </c>
      <c r="C9" s="14">
        <v>238271</v>
      </c>
      <c r="D9" s="14">
        <v>304242</v>
      </c>
      <c r="E9" s="14">
        <v>240355</v>
      </c>
      <c r="F9" s="22">
        <v>281793</v>
      </c>
      <c r="G9" s="23">
        <v>181091</v>
      </c>
      <c r="H9" s="22">
        <v>241258</v>
      </c>
    </row>
    <row r="10" ht="16" customHeight="1" spans="2:8">
      <c r="B10" s="7" t="s">
        <v>29</v>
      </c>
      <c r="C10" s="10">
        <v>221061</v>
      </c>
      <c r="D10" s="14">
        <v>280690</v>
      </c>
      <c r="E10" s="14">
        <v>283143</v>
      </c>
      <c r="F10" s="22">
        <v>279280</v>
      </c>
      <c r="G10" s="23">
        <v>247569</v>
      </c>
      <c r="H10" s="22">
        <v>247027</v>
      </c>
    </row>
    <row r="11" ht="16" customHeight="1" spans="2:8">
      <c r="B11" s="16" t="s">
        <v>14</v>
      </c>
      <c r="C11" s="17">
        <v>233152</v>
      </c>
      <c r="D11" s="17">
        <f t="shared" ref="D11:H11" si="0">AVERAGE(D6:D10)</f>
        <v>301530.75</v>
      </c>
      <c r="E11" s="24">
        <f t="shared" si="0"/>
        <v>225314.75</v>
      </c>
      <c r="F11" s="25">
        <f t="shared" si="0"/>
        <v>280164.333333333</v>
      </c>
      <c r="G11" s="26">
        <f t="shared" si="0"/>
        <v>214330</v>
      </c>
      <c r="H11" s="25">
        <f t="shared" si="0"/>
        <v>244142.5</v>
      </c>
    </row>
    <row r="12" ht="16" customHeight="1" spans="2:8">
      <c r="B12" s="16" t="s">
        <v>30</v>
      </c>
      <c r="C12" s="17">
        <v>15911</v>
      </c>
      <c r="D12" s="17">
        <f t="shared" ref="D12:H12" si="1">STDEV(D6:D10)</f>
        <v>14289.9112051125</v>
      </c>
      <c r="E12" s="24">
        <f t="shared" si="1"/>
        <v>45654.0044857331</v>
      </c>
      <c r="F12" s="24">
        <f t="shared" si="1"/>
        <v>1412.20265306837</v>
      </c>
      <c r="G12" s="24">
        <f t="shared" si="1"/>
        <v>47007.0445997193</v>
      </c>
      <c r="H12" s="24">
        <f t="shared" si="1"/>
        <v>4079.29902066519</v>
      </c>
    </row>
    <row r="13" ht="16" customHeight="1"/>
    <row r="14" ht="16" customHeight="1" spans="2:2">
      <c r="B14" s="6" t="s">
        <v>31</v>
      </c>
    </row>
    <row r="15" ht="32" customHeight="1" spans="2:11">
      <c r="B15" s="13"/>
      <c r="C15" s="8" t="s">
        <v>32</v>
      </c>
      <c r="D15" s="8" t="s">
        <v>33</v>
      </c>
      <c r="F15" s="11"/>
      <c r="G15" s="11"/>
      <c r="H15" s="11"/>
      <c r="I15" s="11"/>
      <c r="J15" s="11"/>
      <c r="K15" s="11"/>
    </row>
    <row r="16" ht="16" customHeight="1" spans="2:11">
      <c r="B16" s="7" t="s">
        <v>34</v>
      </c>
      <c r="C16" s="13">
        <v>3.8</v>
      </c>
      <c r="D16" s="18">
        <f>INDEX($C$11:$H$11,,ROWS($B$16:B16))</f>
        <v>233152</v>
      </c>
      <c r="F16" s="11"/>
      <c r="G16" s="11"/>
      <c r="H16" s="11"/>
      <c r="I16" s="11"/>
      <c r="J16" s="11"/>
      <c r="K16" s="11"/>
    </row>
    <row r="17" ht="16" customHeight="1" spans="2:11">
      <c r="B17" s="7" t="s">
        <v>35</v>
      </c>
      <c r="C17" s="13">
        <v>1.4</v>
      </c>
      <c r="D17" s="18">
        <f>INDEX($C$11:$H$11,,ROWS($B$16:B17))</f>
        <v>301530.75</v>
      </c>
      <c r="F17" s="11"/>
      <c r="G17" s="11"/>
      <c r="H17" s="11"/>
      <c r="I17" s="11"/>
      <c r="J17" s="11"/>
      <c r="K17" s="11"/>
    </row>
    <row r="18" ht="16" customHeight="1" spans="2:11">
      <c r="B18" s="7" t="s">
        <v>36</v>
      </c>
      <c r="C18" s="13">
        <v>4.3</v>
      </c>
      <c r="D18" s="18">
        <f>INDEX($C$11:$H$11,,ROWS($B$16:B18))</f>
        <v>225314.75</v>
      </c>
      <c r="F18" s="11"/>
      <c r="G18" s="11"/>
      <c r="H18" s="11"/>
      <c r="I18" s="11"/>
      <c r="J18" s="11"/>
      <c r="K18" s="11"/>
    </row>
    <row r="19" ht="16" customHeight="1" spans="2:11">
      <c r="B19" s="7" t="s">
        <v>37</v>
      </c>
      <c r="C19" s="13">
        <v>2.2</v>
      </c>
      <c r="D19" s="18">
        <f>INDEX($C$11:$H$11,,ROWS($B$16:B19))</f>
        <v>280164.333333333</v>
      </c>
      <c r="F19" s="12" t="s">
        <v>38</v>
      </c>
      <c r="G19" s="12"/>
      <c r="H19" s="12"/>
      <c r="I19" s="12"/>
      <c r="J19" s="12"/>
      <c r="K19" s="12"/>
    </row>
    <row r="20" ht="16" customHeight="1" spans="2:11">
      <c r="B20" s="7" t="s">
        <v>39</v>
      </c>
      <c r="C20" s="13">
        <v>3.6</v>
      </c>
      <c r="D20" s="18">
        <f>INDEX($C$11:$H$11,,ROWS($B$16:B20))</f>
        <v>214330</v>
      </c>
      <c r="F20" s="11"/>
      <c r="G20" s="11"/>
      <c r="H20" s="11"/>
      <c r="I20" s="11"/>
      <c r="J20" s="11"/>
      <c r="K20" s="11"/>
    </row>
    <row r="21" ht="16" customHeight="1" spans="2:11">
      <c r="B21" s="7" t="s">
        <v>40</v>
      </c>
      <c r="C21" s="13">
        <v>3.5</v>
      </c>
      <c r="D21" s="18">
        <f>INDEX($C$11:$H$11,,ROWS($B$16:B21))</f>
        <v>244142.5</v>
      </c>
      <c r="F21" s="11"/>
      <c r="G21" s="11"/>
      <c r="H21" s="11"/>
      <c r="I21" s="11"/>
      <c r="J21" s="11"/>
      <c r="K21" s="11"/>
    </row>
    <row r="22" ht="16" customHeight="1" spans="6:11">
      <c r="F22" s="11"/>
      <c r="G22" s="11"/>
      <c r="H22" s="11"/>
      <c r="I22" s="11"/>
      <c r="J22" s="11"/>
      <c r="K22" s="11"/>
    </row>
    <row r="23" ht="16" customHeight="1" spans="6:11">
      <c r="F23" s="11"/>
      <c r="G23" s="11"/>
      <c r="H23" s="11"/>
      <c r="I23" s="11"/>
      <c r="J23" s="11"/>
      <c r="K23" s="11"/>
    </row>
    <row r="24" ht="16" customHeight="1" spans="6:11">
      <c r="F24" s="11"/>
      <c r="G24" s="11"/>
      <c r="H24" s="11"/>
      <c r="I24" s="11"/>
      <c r="J24" s="11"/>
      <c r="K24" s="11"/>
    </row>
    <row r="25" spans="6:11">
      <c r="F25"/>
      <c r="G25"/>
      <c r="H25"/>
      <c r="I25"/>
      <c r="J25"/>
      <c r="K25"/>
    </row>
    <row r="26" spans="6:11">
      <c r="F26"/>
      <c r="G26"/>
      <c r="H26"/>
      <c r="I26"/>
      <c r="J26"/>
      <c r="K26"/>
    </row>
    <row r="27" spans="6:11">
      <c r="F27"/>
      <c r="G27"/>
      <c r="H27"/>
      <c r="I27"/>
      <c r="J27"/>
      <c r="K27"/>
    </row>
    <row r="28" spans="6:11">
      <c r="F28"/>
      <c r="G28"/>
      <c r="H28"/>
      <c r="I28"/>
      <c r="J28"/>
      <c r="K28"/>
    </row>
    <row r="29" spans="6:11">
      <c r="F29"/>
      <c r="G29"/>
      <c r="H29"/>
      <c r="I29"/>
      <c r="J29"/>
      <c r="K29"/>
    </row>
    <row r="30" spans="6:11">
      <c r="F30"/>
      <c r="G30"/>
      <c r="H30"/>
      <c r="I30"/>
      <c r="J30"/>
      <c r="K30"/>
    </row>
    <row r="31" spans="6:11">
      <c r="F31"/>
      <c r="G31"/>
      <c r="H31"/>
      <c r="I31"/>
      <c r="J31"/>
      <c r="K31"/>
    </row>
    <row r="32" spans="6:11">
      <c r="F32"/>
      <c r="G32"/>
      <c r="H32"/>
      <c r="I32"/>
      <c r="J32"/>
      <c r="K32"/>
    </row>
    <row r="33" customFormat="1"/>
    <row r="34" customFormat="1"/>
    <row r="35" customFormat="1"/>
    <row r="36" customFormat="1"/>
  </sheetData>
  <mergeCells count="1">
    <mergeCell ref="F19:K19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36"/>
  <sheetViews>
    <sheetView workbookViewId="0">
      <selection activeCell="D17" sqref="D17"/>
    </sheetView>
  </sheetViews>
  <sheetFormatPr defaultColWidth="11" defaultRowHeight="15.75"/>
  <cols>
    <col min="1" max="1" width="3.16666666666667" customWidth="1"/>
    <col min="2" max="2" width="25.1666666666667" customWidth="1"/>
    <col min="3" max="4" width="13.8333333333333" customWidth="1"/>
    <col min="5" max="5" width="10.8333333333333" customWidth="1"/>
    <col min="6" max="6" width="10.8333333333333" style="2"/>
    <col min="7" max="7" width="10.8333333333333" style="3" customWidth="1"/>
    <col min="8" max="8" width="10.8333333333333" style="4" customWidth="1"/>
    <col min="9" max="9" width="10.8333333333333" style="4"/>
    <col min="10" max="11" width="10.8333333333333" style="4" customWidth="1"/>
  </cols>
  <sheetData>
    <row r="2" ht="23.25" spans="2:2">
      <c r="B2" s="5" t="s">
        <v>41</v>
      </c>
    </row>
    <row r="3" ht="16" customHeight="1"/>
    <row r="4" ht="16" customHeight="1" spans="2:11">
      <c r="B4" s="6" t="s">
        <v>42</v>
      </c>
      <c r="F4"/>
      <c r="G4"/>
      <c r="H4"/>
      <c r="I4"/>
      <c r="J4"/>
      <c r="K4"/>
    </row>
    <row r="5" ht="31" customHeight="1" spans="2:11">
      <c r="B5" s="7" t="s">
        <v>43</v>
      </c>
      <c r="C5" s="7" t="s">
        <v>44</v>
      </c>
      <c r="D5" s="8" t="s">
        <v>41</v>
      </c>
      <c r="F5" s="11"/>
      <c r="G5" s="11"/>
      <c r="H5" s="11"/>
      <c r="I5" s="11"/>
      <c r="J5" s="11"/>
      <c r="K5" s="11"/>
    </row>
    <row r="6" ht="16" customHeight="1" spans="2:11">
      <c r="B6" s="7" t="s">
        <v>45</v>
      </c>
      <c r="C6" s="9">
        <v>1</v>
      </c>
      <c r="D6" s="10">
        <v>54345</v>
      </c>
      <c r="F6" s="11"/>
      <c r="G6" s="11"/>
      <c r="H6" s="11"/>
      <c r="I6" s="11"/>
      <c r="J6" s="11"/>
      <c r="K6" s="11"/>
    </row>
    <row r="7" ht="16" customHeight="1" spans="2:11">
      <c r="B7" s="7" t="s">
        <v>46</v>
      </c>
      <c r="C7" s="9">
        <v>2</v>
      </c>
      <c r="D7" s="10">
        <v>67321</v>
      </c>
      <c r="F7" s="11"/>
      <c r="G7" s="11"/>
      <c r="H7" s="11"/>
      <c r="I7" s="11"/>
      <c r="J7" s="11"/>
      <c r="K7" s="11"/>
    </row>
    <row r="8" ht="16" customHeight="1" spans="2:11">
      <c r="B8" s="7" t="s">
        <v>47</v>
      </c>
      <c r="C8" s="9">
        <v>3</v>
      </c>
      <c r="D8" s="10">
        <v>86911</v>
      </c>
      <c r="F8" s="11"/>
      <c r="G8" s="11"/>
      <c r="H8" s="11"/>
      <c r="I8" s="11"/>
      <c r="J8" s="11"/>
      <c r="K8" s="11"/>
    </row>
    <row r="9" ht="16" customHeight="1" spans="2:11">
      <c r="B9" s="7" t="s">
        <v>48</v>
      </c>
      <c r="C9" s="9">
        <v>4</v>
      </c>
      <c r="D9" s="10">
        <v>105222</v>
      </c>
      <c r="F9" s="12" t="s">
        <v>15</v>
      </c>
      <c r="G9" s="12"/>
      <c r="H9" s="12"/>
      <c r="I9" s="12"/>
      <c r="J9" s="12"/>
      <c r="K9" s="12"/>
    </row>
    <row r="10" ht="16" customHeight="1" spans="2:11">
      <c r="B10" s="7" t="s">
        <v>49</v>
      </c>
      <c r="C10" s="9">
        <v>5</v>
      </c>
      <c r="D10" s="10">
        <v>110315</v>
      </c>
      <c r="F10" s="11"/>
      <c r="G10" s="11"/>
      <c r="H10" s="11"/>
      <c r="I10" s="11"/>
      <c r="J10" s="11"/>
      <c r="K10" s="11"/>
    </row>
    <row r="11" ht="16" customHeight="1" spans="2:11">
      <c r="B11" s="7" t="s">
        <v>50</v>
      </c>
      <c r="C11" s="9">
        <v>6</v>
      </c>
      <c r="D11" s="10">
        <v>133153</v>
      </c>
      <c r="F11" s="11"/>
      <c r="G11" s="11"/>
      <c r="H11" s="11"/>
      <c r="I11" s="11"/>
      <c r="J11" s="11"/>
      <c r="K11" s="11"/>
    </row>
    <row r="12" ht="16" customHeight="1" spans="2:11">
      <c r="B12" s="7" t="s">
        <v>51</v>
      </c>
      <c r="C12" s="9">
        <v>7</v>
      </c>
      <c r="D12" s="10">
        <v>156213</v>
      </c>
      <c r="F12" s="11"/>
      <c r="G12" s="11"/>
      <c r="H12" s="11"/>
      <c r="I12" s="11"/>
      <c r="J12" s="11"/>
      <c r="K12" s="11"/>
    </row>
    <row r="13" ht="16" customHeight="1" spans="2:11">
      <c r="B13" s="7" t="s">
        <v>52</v>
      </c>
      <c r="C13" s="9">
        <v>8</v>
      </c>
      <c r="D13" s="10">
        <v>168158</v>
      </c>
      <c r="F13" s="11"/>
      <c r="G13" s="11"/>
      <c r="H13" s="11"/>
      <c r="I13" s="11"/>
      <c r="J13" s="11"/>
      <c r="K13" s="11"/>
    </row>
    <row r="14" ht="16" customHeight="1" spans="2:11">
      <c r="B14" s="7" t="s">
        <v>53</v>
      </c>
      <c r="C14" s="9">
        <v>9</v>
      </c>
      <c r="D14" s="10">
        <v>135859</v>
      </c>
      <c r="F14" s="11"/>
      <c r="G14" s="11"/>
      <c r="H14" s="11"/>
      <c r="I14" s="11"/>
      <c r="J14" s="11"/>
      <c r="K14" s="11"/>
    </row>
    <row r="15" ht="16" customHeight="1" spans="2:11">
      <c r="B15" s="7" t="s">
        <v>54</v>
      </c>
      <c r="C15" s="9">
        <v>10</v>
      </c>
      <c r="D15" s="10">
        <v>93628</v>
      </c>
      <c r="F15"/>
      <c r="G15"/>
      <c r="H15"/>
      <c r="I15"/>
      <c r="J15"/>
      <c r="K15"/>
    </row>
    <row r="16" ht="16" customHeight="1" spans="2:11">
      <c r="B16" s="7" t="s">
        <v>55</v>
      </c>
      <c r="C16" s="9">
        <v>11</v>
      </c>
      <c r="D16" s="10">
        <v>80636</v>
      </c>
      <c r="F16"/>
      <c r="G16"/>
      <c r="H16"/>
      <c r="I16"/>
      <c r="J16"/>
      <c r="K16"/>
    </row>
    <row r="17" ht="16" customHeight="1" spans="2:11">
      <c r="B17" s="7" t="s">
        <v>56</v>
      </c>
      <c r="C17" s="9">
        <v>12</v>
      </c>
      <c r="D17" s="10">
        <v>126231</v>
      </c>
      <c r="F17"/>
      <c r="G17"/>
      <c r="H17"/>
      <c r="I17"/>
      <c r="J17"/>
      <c r="K17"/>
    </row>
    <row r="18" ht="16" customHeight="1" spans="6:11">
      <c r="F18"/>
      <c r="G18"/>
      <c r="H18"/>
      <c r="I18"/>
      <c r="J18"/>
      <c r="K18"/>
    </row>
    <row r="19" ht="16" customHeight="1" spans="6:11">
      <c r="F19"/>
      <c r="G19"/>
      <c r="H19"/>
      <c r="I19"/>
      <c r="J19"/>
      <c r="K19"/>
    </row>
    <row r="20" ht="16" customHeight="1" spans="6:11">
      <c r="F20"/>
      <c r="G20"/>
      <c r="H20"/>
      <c r="I20"/>
      <c r="J20"/>
      <c r="K20"/>
    </row>
    <row r="21" ht="16" customHeight="1" spans="6:11">
      <c r="F21"/>
      <c r="G21"/>
      <c r="H21"/>
      <c r="I21"/>
      <c r="J21"/>
      <c r="K21"/>
    </row>
    <row r="22" ht="16" customHeight="1" spans="6:11">
      <c r="F22"/>
      <c r="G22"/>
      <c r="H22"/>
      <c r="I22"/>
      <c r="J22"/>
      <c r="K22"/>
    </row>
    <row r="23" ht="16" customHeight="1" spans="6:11">
      <c r="F23"/>
      <c r="G23"/>
      <c r="H23"/>
      <c r="I23"/>
      <c r="J23"/>
      <c r="K23"/>
    </row>
    <row r="24" ht="16" customHeight="1" spans="6:11">
      <c r="F24"/>
      <c r="G24"/>
      <c r="H24"/>
      <c r="I24"/>
      <c r="J24"/>
      <c r="K24"/>
    </row>
    <row r="25" spans="6:11">
      <c r="F25"/>
      <c r="G25"/>
      <c r="H25"/>
      <c r="I25"/>
      <c r="J25"/>
      <c r="K25"/>
    </row>
    <row r="26" spans="6:11">
      <c r="F26"/>
      <c r="G26"/>
      <c r="H26"/>
      <c r="I26"/>
      <c r="J26"/>
      <c r="K26"/>
    </row>
    <row r="27" spans="6:11">
      <c r="F27"/>
      <c r="G27"/>
      <c r="H27"/>
      <c r="I27"/>
      <c r="J27"/>
      <c r="K27"/>
    </row>
    <row r="28" spans="6:11">
      <c r="F28"/>
      <c r="G28"/>
      <c r="H28"/>
      <c r="I28"/>
      <c r="J28"/>
      <c r="K28"/>
    </row>
    <row r="29" spans="6:11">
      <c r="F29"/>
      <c r="G29"/>
      <c r="H29"/>
      <c r="I29"/>
      <c r="J29"/>
      <c r="K29"/>
    </row>
    <row r="30" spans="6:11">
      <c r="F30"/>
      <c r="G30"/>
      <c r="H30"/>
      <c r="I30"/>
      <c r="J30"/>
      <c r="K30"/>
    </row>
    <row r="31" spans="6:11">
      <c r="F31"/>
      <c r="G31"/>
      <c r="H31"/>
      <c r="I31"/>
      <c r="J31"/>
      <c r="K31"/>
    </row>
    <row r="32" spans="6:11">
      <c r="F32"/>
      <c r="G32"/>
      <c r="H32"/>
      <c r="I32"/>
      <c r="J32"/>
      <c r="K32"/>
    </row>
    <row r="33" customFormat="1"/>
    <row r="34" customFormat="1"/>
    <row r="35" customFormat="1"/>
    <row r="36" customFormat="1"/>
  </sheetData>
  <mergeCells count="1">
    <mergeCell ref="F9:K9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opLeftCell="A13" workbookViewId="0">
      <selection activeCell="A1" sqref="$A1:$XFD1048576"/>
    </sheetView>
  </sheetViews>
  <sheetFormatPr defaultColWidth="8.83333333333333" defaultRowHeight="15.75" outlineLevelCol="1"/>
  <cols>
    <col min="1" max="1" width="30.6666666666667" customWidth="1"/>
  </cols>
  <sheetData>
    <row r="1" spans="1:2">
      <c r="A1" s="1" t="s">
        <v>57</v>
      </c>
      <c r="B1" s="1"/>
    </row>
    <row r="3" spans="1:2">
      <c r="A3" t="s">
        <v>58</v>
      </c>
      <c r="B3" t="str">
        <f>IF('Number of Students'!F7-74126=0,"Correct","Error")</f>
        <v>Correct</v>
      </c>
    </row>
    <row r="4" spans="1:2">
      <c r="A4" t="s">
        <v>59</v>
      </c>
      <c r="B4" t="str">
        <f>IF('Number of Students'!F8-76583=0,"Correct","Error")</f>
        <v>Correct</v>
      </c>
    </row>
    <row r="5" spans="1:2">
      <c r="A5" t="s">
        <v>60</v>
      </c>
      <c r="B5" t="str">
        <f>IF('Number of Students'!F9-76014=0,"Correct","Error")</f>
        <v>Correct</v>
      </c>
    </row>
    <row r="6" spans="1:2">
      <c r="A6" t="s">
        <v>61</v>
      </c>
      <c r="B6" t="str">
        <f>IF('Number of Students'!F10-67451=0,"Correct","Error")</f>
        <v>Correct</v>
      </c>
    </row>
    <row r="8" spans="1:2">
      <c r="A8" t="s">
        <v>62</v>
      </c>
      <c r="B8" t="str">
        <f>IF(ROUND('Sales and Distance from Stadium'!D11,0)=301531,"Correct","Error")</f>
        <v>Correct</v>
      </c>
    </row>
    <row r="9" spans="1:2">
      <c r="A9" t="s">
        <v>63</v>
      </c>
      <c r="B9" t="str">
        <f>IF(ROUND('Sales and Distance from Stadium'!D12,0)=14290,"Correct","Error")</f>
        <v>Correct</v>
      </c>
    </row>
    <row r="10" spans="1:2">
      <c r="A10" t="s">
        <v>64</v>
      </c>
      <c r="B10" t="str">
        <f>IF(ROUND('Sales and Distance from Stadium'!E11,0)=225315,"Correct","Error")</f>
        <v>Correct</v>
      </c>
    </row>
    <row r="11" spans="1:2">
      <c r="A11" t="s">
        <v>65</v>
      </c>
      <c r="B11" t="str">
        <f>IF(ROUND('Sales and Distance from Stadium'!E12,0)=45654,"Correct","Error")</f>
        <v>Correct</v>
      </c>
    </row>
    <row r="12" spans="1:2">
      <c r="A12" t="s">
        <v>66</v>
      </c>
      <c r="B12" t="str">
        <f>IF(ROUND('Sales and Distance from Stadium'!F11,0)=280164,"Correct","Error")</f>
        <v>Correct</v>
      </c>
    </row>
    <row r="13" spans="1:2">
      <c r="A13" t="s">
        <v>67</v>
      </c>
      <c r="B13" t="str">
        <f>IF(ROUND('Sales and Distance from Stadium'!F12,0)=1412,"Correct","Error")</f>
        <v>Correct</v>
      </c>
    </row>
    <row r="14" spans="1:2">
      <c r="A14" t="s">
        <v>68</v>
      </c>
      <c r="B14" t="str">
        <f>IF(ROUND('Sales and Distance from Stadium'!G11,0)=214330,"Correct","Error")</f>
        <v>Correct</v>
      </c>
    </row>
    <row r="15" spans="1:2">
      <c r="A15" t="s">
        <v>69</v>
      </c>
      <c r="B15" t="str">
        <f>IF(ROUND('Sales and Distance from Stadium'!G12,0)=47007,"Correct","Error")</f>
        <v>Correct</v>
      </c>
    </row>
    <row r="16" spans="1:2">
      <c r="A16" t="s">
        <v>70</v>
      </c>
      <c r="B16" t="str">
        <f>IF(ROUND('Sales and Distance from Stadium'!H11,0)=244143,"Correct","Error")</f>
        <v>Correct</v>
      </c>
    </row>
    <row r="17" spans="1:2">
      <c r="A17" t="s">
        <v>71</v>
      </c>
      <c r="B17" t="str">
        <f>IF(ROUND('Sales and Distance from Stadium'!H12,0)=4079,"Correct","Error")</f>
        <v>Correct</v>
      </c>
    </row>
    <row r="18" spans="1:2">
      <c r="A18" t="s">
        <v>72</v>
      </c>
      <c r="B18" t="str">
        <f>IF(ROUND('Sales and Distance from Stadium'!D16,0)=233152,"Correct","Error")</f>
        <v>Correct</v>
      </c>
    </row>
    <row r="19" spans="1:2">
      <c r="A19" t="s">
        <v>73</v>
      </c>
      <c r="B19" t="str">
        <f>IF(ROUND('Sales and Distance from Stadium'!D17,0)=301531,"Correct","Error")</f>
        <v>Correct</v>
      </c>
    </row>
    <row r="20" spans="1:2">
      <c r="A20" t="s">
        <v>74</v>
      </c>
      <c r="B20" t="str">
        <f>IF(ROUND('Sales and Distance from Stadium'!D18,0)=225315,"Correct","Error")</f>
        <v>Correct</v>
      </c>
    </row>
    <row r="21" spans="1:2">
      <c r="A21" t="s">
        <v>75</v>
      </c>
      <c r="B21" t="str">
        <f>IF(ROUND('Sales and Distance from Stadium'!D19,0)=280164,"Correct","Error")</f>
        <v>Correct</v>
      </c>
    </row>
    <row r="22" spans="1:2">
      <c r="A22" t="s">
        <v>76</v>
      </c>
      <c r="B22" t="str">
        <f>IF(ROUND('Sales and Distance from Stadium'!D20,0)=214330,"Correct","Error")</f>
        <v>Correct</v>
      </c>
    </row>
    <row r="23" spans="1:2">
      <c r="A23" t="s">
        <v>77</v>
      </c>
      <c r="B23" t="str">
        <f>IF(ROUND('Sales and Distance from Stadium'!D21,0)=244143,"Correct","Error")</f>
        <v>Correct</v>
      </c>
    </row>
  </sheetData>
  <sheetProtection algorithmName="SHA-512" hashValue="7gGxQiqyskSmhoGv5PqpudNgC7QhGNQAgbYp2ny40TtVuasQKwj7OXTdkyXLgy92NHzqc1JvM4/Qld51pkCtVg==" saltValue="vo9BA8kSzEts+J0M3zYk0Q==" spinCount="100000" sheet="1" selectLockedCells="1" selectUnlockedCells="1" objects="1" scenarios="1"/>
  <mergeCells count="1">
    <mergeCell ref="A1:B1"/>
  </mergeCells>
  <conditionalFormatting sqref="B3:B23">
    <cfRule type="containsText" dxfId="0" priority="1" operator="between" text="Correct">
      <formula>NOT(ISERROR(SEARCH("Correct",B3)))</formula>
    </cfRule>
    <cfRule type="containsText" dxfId="1" priority="2" operator="between" text="Error">
      <formula>NOT(ISERROR(SEARCH("Error",B3)))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Number of Students</vt:lpstr>
      <vt:lpstr>Sales by Age</vt:lpstr>
      <vt:lpstr>Sales and Distance from Stadium</vt:lpstr>
      <vt:lpstr>Average Monthly Sales</vt:lpstr>
      <vt:lpstr>How Did I 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absar</cp:lastModifiedBy>
  <dcterms:created xsi:type="dcterms:W3CDTF">2023-04-03T10:50:00Z</dcterms:created>
  <dcterms:modified xsi:type="dcterms:W3CDTF">2025-09-27T00:36:22Z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2025-07-23T21:04:43Z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7eab5868-a890-4c20-a280-ddd732f9d297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  <property fmtid="{D5CDD505-2E9C-101B-9397-08002B2CF9AE}" pid="10" name="ICV">
    <vt:lpwstr/>
  </property>
  <property fmtid="{D5CDD505-2E9C-101B-9397-08002B2CF9AE}" pid="11" name="KSOProductBuildVer">
    <vt:lpwstr>1033-11.1.0.11719</vt:lpwstr>
  </property>
</Properties>
</file>